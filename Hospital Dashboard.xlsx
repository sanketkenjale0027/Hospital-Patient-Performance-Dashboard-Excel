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3145" yWindow="-105" windowWidth="20730" windowHeight="11760" activeTab="4"/>
  </bookViews>
  <sheets>
    <sheet name="Data" sheetId="1" r:id="rId1"/>
    <sheet name="Sheet3" sheetId="4" r:id="rId2"/>
    <sheet name="Sheet2" sheetId="3" r:id="rId3"/>
    <sheet name="Sheet1" sheetId="2" r:id="rId4"/>
    <sheet name="Dashboard" sheetId="5" r:id="rId5"/>
  </sheets>
  <definedNames>
    <definedName name="Slicer_Department">#N/A</definedName>
    <definedName name="Slicer_Month">#N/A</definedName>
    <definedName name="Slicer_Physicians">#N/A</definedName>
    <definedName name="Slicer_Year">#N/A</definedName>
  </definedNames>
  <calcPr calcId="144525"/>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8" i="2" l="1"/>
  <c r="N19" i="2"/>
  <c r="N20" i="2"/>
  <c r="N21" i="2"/>
  <c r="N22" i="2"/>
  <c r="N23" i="2"/>
  <c r="N17" i="2"/>
  <c r="E18" i="2"/>
  <c r="E19" i="2"/>
  <c r="E20" i="2"/>
  <c r="E21" i="2"/>
  <c r="E22" i="2"/>
  <c r="E23" i="2"/>
  <c r="E24" i="2"/>
  <c r="E17" i="2"/>
  <c r="M54" i="2"/>
  <c r="M11" i="2"/>
  <c r="H19" i="2"/>
  <c r="M4" i="2"/>
  <c r="M18" i="2"/>
  <c r="F23" i="2"/>
  <c r="M32" i="2"/>
  <c r="H21" i="2"/>
  <c r="M42" i="2"/>
  <c r="R23" i="2"/>
  <c r="M53" i="2"/>
  <c r="C22" i="2"/>
  <c r="M35" i="2"/>
  <c r="M24" i="2"/>
  <c r="O21" i="2"/>
  <c r="D22" i="2"/>
  <c r="O23" i="2"/>
  <c r="M9" i="2"/>
  <c r="R20" i="2"/>
  <c r="M23" i="2"/>
  <c r="M46" i="2"/>
  <c r="F19" i="2"/>
  <c r="M16" i="2"/>
  <c r="M33" i="2"/>
  <c r="M26" i="2"/>
  <c r="R21" i="2"/>
  <c r="M21" i="2"/>
  <c r="F21" i="2"/>
  <c r="M41" i="2"/>
  <c r="M34" i="2"/>
  <c r="M55" i="2"/>
  <c r="M8" i="2"/>
  <c r="O19" i="2"/>
  <c r="H22" i="2"/>
  <c r="M48" i="2"/>
  <c r="R18" i="2"/>
  <c r="M7" i="2"/>
  <c r="M14" i="2"/>
  <c r="R22" i="2"/>
  <c r="H23" i="2"/>
  <c r="M31" i="2"/>
  <c r="M36" i="2"/>
  <c r="M17" i="2"/>
  <c r="M25" i="2"/>
  <c r="O17" i="2"/>
  <c r="M39" i="2"/>
  <c r="M27" i="2"/>
  <c r="O20" i="2"/>
  <c r="M6" i="2"/>
  <c r="D15" i="2"/>
  <c r="M28" i="2"/>
  <c r="M13" i="2"/>
  <c r="H18" i="2"/>
  <c r="F17" i="2"/>
  <c r="F22" i="2"/>
  <c r="M57" i="2"/>
  <c r="M50" i="2"/>
  <c r="M20" i="2"/>
  <c r="M40" i="2"/>
  <c r="M38" i="2"/>
  <c r="M30" i="2"/>
  <c r="M37" i="2"/>
  <c r="M45" i="2"/>
  <c r="O22" i="2"/>
  <c r="R17" i="2"/>
  <c r="H17" i="2"/>
  <c r="M47" i="2"/>
  <c r="M52" i="2"/>
  <c r="M49" i="2"/>
  <c r="F20" i="2"/>
  <c r="M19" i="2"/>
  <c r="M43" i="2"/>
  <c r="R19" i="2"/>
  <c r="H20" i="2"/>
  <c r="M15" i="2"/>
  <c r="F18" i="2"/>
  <c r="M22" i="2"/>
  <c r="O18" i="2"/>
  <c r="M5" i="2"/>
  <c r="M29" i="2"/>
  <c r="M12" i="2"/>
  <c r="M51" i="2"/>
  <c r="M56" i="2"/>
  <c r="M10" i="2"/>
  <c r="C15" i="2"/>
  <c r="D17" i="2" s="1"/>
  <c r="M44" i="2"/>
  <c r="D18" i="2" l="1"/>
  <c r="S23" i="2"/>
  <c r="S21" i="2"/>
  <c r="S19" i="2"/>
  <c r="S20" i="2"/>
  <c r="S18" i="2"/>
  <c r="S17" i="2"/>
  <c r="S22" i="2"/>
  <c r="C24" i="2"/>
  <c r="C17" i="2"/>
  <c r="C18" i="2" l="1"/>
</calcChain>
</file>

<file path=xl/sharedStrings.xml><?xml version="1.0" encoding="utf-8"?>
<sst xmlns="http://schemas.openxmlformats.org/spreadsheetml/2006/main" count="3364" uniqueCount="323">
  <si>
    <t>Admission Date</t>
  </si>
  <si>
    <t>Discharge Date</t>
  </si>
  <si>
    <t>Hospital Name</t>
  </si>
  <si>
    <t>Hospital Country</t>
  </si>
  <si>
    <t>Hospital State</t>
  </si>
  <si>
    <t>Patient ID</t>
  </si>
  <si>
    <t>Patient Name</t>
  </si>
  <si>
    <t>Gender</t>
  </si>
  <si>
    <t>Age</t>
  </si>
  <si>
    <t>Age Group</t>
  </si>
  <si>
    <t>City</t>
  </si>
  <si>
    <t>Division</t>
  </si>
  <si>
    <t>Department</t>
  </si>
  <si>
    <t>Surgical Specialty</t>
  </si>
  <si>
    <t>Physicians</t>
  </si>
  <si>
    <t>LOS Bucket (Length of Stay)</t>
  </si>
  <si>
    <t>Patients in ICU</t>
  </si>
  <si>
    <t>Total Died</t>
  </si>
  <si>
    <t>Re-admit Patients</t>
  </si>
  <si>
    <t>Discharge Type</t>
  </si>
  <si>
    <t>Avg Waiting Time by Division (hrs)</t>
  </si>
  <si>
    <t>Avg Days of Discharge</t>
  </si>
  <si>
    <t>Total Patients</t>
  </si>
  <si>
    <t>Year</t>
  </si>
  <si>
    <t>Month</t>
  </si>
  <si>
    <t>City Hospital</t>
  </si>
  <si>
    <t>USA</t>
  </si>
  <si>
    <t>Pennsylvania</t>
  </si>
  <si>
    <t>John Doe</t>
  </si>
  <si>
    <t>Male</t>
  </si>
  <si>
    <t>31-45</t>
  </si>
  <si>
    <t>New York City</t>
  </si>
  <si>
    <t>Telemetry</t>
  </si>
  <si>
    <t>Inpatient</t>
  </si>
  <si>
    <t>Cardiac</t>
  </si>
  <si>
    <t>Dr. Smith</t>
  </si>
  <si>
    <t>1 to 5</t>
  </si>
  <si>
    <t>Clinical Advice</t>
  </si>
  <si>
    <t>Jan</t>
  </si>
  <si>
    <t>General Hospital</t>
  </si>
  <si>
    <t>Jane Smith</t>
  </si>
  <si>
    <t>Female</t>
  </si>
  <si>
    <t>Hilo</t>
  </si>
  <si>
    <t>Oncology</t>
  </si>
  <si>
    <t>Outpatient</t>
  </si>
  <si>
    <t>General</t>
  </si>
  <si>
    <t>Dr. Johnson</t>
  </si>
  <si>
    <t>6 to 10</t>
  </si>
  <si>
    <t>Discharged Themselves</t>
  </si>
  <si>
    <t>Feb</t>
  </si>
  <si>
    <t>Metro Health</t>
  </si>
  <si>
    <t>New Jersey</t>
  </si>
  <si>
    <t>Alice Johnson</t>
  </si>
  <si>
    <t>46-60</t>
  </si>
  <si>
    <t>St. Louis</t>
  </si>
  <si>
    <t>Cardiology</t>
  </si>
  <si>
    <t>Vascular</t>
  </si>
  <si>
    <t>Dr. Lee</t>
  </si>
  <si>
    <t>Mar</t>
  </si>
  <si>
    <t>Suburban Clinic</t>
  </si>
  <si>
    <t>Delaware</t>
  </si>
  <si>
    <t>Michael Brown</t>
  </si>
  <si>
    <t>61-75</t>
  </si>
  <si>
    <t>Honolulu</t>
  </si>
  <si>
    <t>Orthopedic</t>
  </si>
  <si>
    <t>Dr. Patel</t>
  </si>
  <si>
    <t>Died</t>
  </si>
  <si>
    <t>Apr</t>
  </si>
  <si>
    <t>Urban Care</t>
  </si>
  <si>
    <t>Emily Davis</t>
  </si>
  <si>
    <t>Louisville</t>
  </si>
  <si>
    <t>Obstetrics</t>
  </si>
  <si>
    <t>Gynecology</t>
  </si>
  <si>
    <t>Dr. Walker</t>
  </si>
  <si>
    <t>May</t>
  </si>
  <si>
    <t>Richmond</t>
  </si>
  <si>
    <t>Newark</t>
  </si>
  <si>
    <t>Pittsburgh</t>
  </si>
  <si>
    <t>Milwaukee</t>
  </si>
  <si>
    <t>Riverbend Hospital</t>
  </si>
  <si>
    <t>Texas</t>
  </si>
  <si>
    <t>David Miller</t>
  </si>
  <si>
    <t>21-25</t>
  </si>
  <si>
    <t>Albuquerque</t>
  </si>
  <si>
    <t>Emergency</t>
  </si>
  <si>
    <t>Trauma</t>
  </si>
  <si>
    <t>Dr. Green</t>
  </si>
  <si>
    <t>Jun</t>
  </si>
  <si>
    <t>Northside Hospital</t>
  </si>
  <si>
    <t>Georgia</t>
  </si>
  <si>
    <t>Sarah Wilson</t>
  </si>
  <si>
    <t>16-20</t>
  </si>
  <si>
    <t>Chicago</t>
  </si>
  <si>
    <t>Pediatrics</t>
  </si>
  <si>
    <t>Dr. White</t>
  </si>
  <si>
    <t>Jul</t>
  </si>
  <si>
    <t>Eastside Clinic</t>
  </si>
  <si>
    <t>Florida</t>
  </si>
  <si>
    <t>Thomas Brown</t>
  </si>
  <si>
    <t>11-15</t>
  </si>
  <si>
    <t>Salem</t>
  </si>
  <si>
    <t>Endocrinology</t>
  </si>
  <si>
    <t>Dr. Black</t>
  </si>
  <si>
    <t>Aug</t>
  </si>
  <si>
    <t>Green Valley Hospital</t>
  </si>
  <si>
    <t>California</t>
  </si>
  <si>
    <t>Rachel Adams</t>
  </si>
  <si>
    <t>26-30</t>
  </si>
  <si>
    <t>Portland</t>
  </si>
  <si>
    <t>Dr. Brown</t>
  </si>
  <si>
    <t>Sep</t>
  </si>
  <si>
    <t>Lakeside Hospital</t>
  </si>
  <si>
    <t>Illinois</t>
  </si>
  <si>
    <t>Kevin Johnson</t>
  </si>
  <si>
    <t>Atlanta</t>
  </si>
  <si>
    <t>Dr. Taylor</t>
  </si>
  <si>
    <t>Oct</t>
  </si>
  <si>
    <t>Denver</t>
  </si>
  <si>
    <t>Tacoma</t>
  </si>
  <si>
    <t>Lincoln</t>
  </si>
  <si>
    <t>Philadelphia</t>
  </si>
  <si>
    <t>Reading</t>
  </si>
  <si>
    <t>Maplewood Hospital</t>
  </si>
  <si>
    <t>Ohio</t>
  </si>
  <si>
    <t>Samantha Green</t>
  </si>
  <si>
    <t>Detroit</t>
  </si>
  <si>
    <t>Dr. King</t>
  </si>
  <si>
    <t>Nov</t>
  </si>
  <si>
    <t>Hillcrest Hospital</t>
  </si>
  <si>
    <t>Nevada</t>
  </si>
  <si>
    <t>Timothy Hall</t>
  </si>
  <si>
    <t>Carson City</t>
  </si>
  <si>
    <t>Dr. Wood</t>
  </si>
  <si>
    <t>Dec</t>
  </si>
  <si>
    <t>Crestview Clinic</t>
  </si>
  <si>
    <t>North Dakota</t>
  </si>
  <si>
    <t>Jessica Taylor</t>
  </si>
  <si>
    <t>Sioux Falls</t>
  </si>
  <si>
    <t>Clearview Hospital</t>
  </si>
  <si>
    <t>Nebraska</t>
  </si>
  <si>
    <t>Jacob Wilson</t>
  </si>
  <si>
    <t>Springfield</t>
  </si>
  <si>
    <t>Silver Lake Hospital</t>
  </si>
  <si>
    <t>Wisconsin</t>
  </si>
  <si>
    <t>Anna Harris</t>
  </si>
  <si>
    <t>San Francisco</t>
  </si>
  <si>
    <t>Redwood Hospital</t>
  </si>
  <si>
    <t>Oregon</t>
  </si>
  <si>
    <t>Kyle Adams</t>
  </si>
  <si>
    <t>Boise</t>
  </si>
  <si>
    <t>Birchwood Hospital</t>
  </si>
  <si>
    <t>Montana</t>
  </si>
  <si>
    <t>Megan Clark</t>
  </si>
  <si>
    <t>Maple Valley Hospital</t>
  </si>
  <si>
    <t>Michigan</t>
  </si>
  <si>
    <t>Steven Martinez</t>
  </si>
  <si>
    <t>Valley View Hospital</t>
  </si>
  <si>
    <t>Idaho</t>
  </si>
  <si>
    <t>Laura Brown</t>
  </si>
  <si>
    <t>Crestfield Hospital</t>
  </si>
  <si>
    <t>New Mexico</t>
  </si>
  <si>
    <t>Eric Wilson</t>
  </si>
  <si>
    <t>Columbia</t>
  </si>
  <si>
    <t>Silver Springs Hospital</t>
  </si>
  <si>
    <t>Wyoming</t>
  </si>
  <si>
    <t>Linda Johnson</t>
  </si>
  <si>
    <t>Concord</t>
  </si>
  <si>
    <t>Westfield Hospital</t>
  </si>
  <si>
    <t>West Virginia</t>
  </si>
  <si>
    <t>James Martinez</t>
  </si>
  <si>
    <t>Eugene</t>
  </si>
  <si>
    <t>Evergreen Hospital</t>
  </si>
  <si>
    <t>Virginia</t>
  </si>
  <si>
    <t>Michelle Wilson</t>
  </si>
  <si>
    <t>Pine Valley Hospital</t>
  </si>
  <si>
    <t>Kentucky</t>
  </si>
  <si>
    <t>Brian Davis</t>
  </si>
  <si>
    <t>Fox River Hospital</t>
  </si>
  <si>
    <t>Karen Miller</t>
  </si>
  <si>
    <t>Valley Forge Hospital</t>
  </si>
  <si>
    <t>Mark Johnson</t>
  </si>
  <si>
    <t>Billings</t>
  </si>
  <si>
    <t>Sunset Hills Hospital</t>
  </si>
  <si>
    <t>Missouri</t>
  </si>
  <si>
    <t>Sarah Adams</t>
  </si>
  <si>
    <t>Hilltop Hospital</t>
  </si>
  <si>
    <t>Massachusetts</t>
  </si>
  <si>
    <t>Paul Clark</t>
  </si>
  <si>
    <t>Montgomery</t>
  </si>
  <si>
    <t>Maple Grove Hospital</t>
  </si>
  <si>
    <t>South Carolina</t>
  </si>
  <si>
    <t>Laura Thompson</t>
  </si>
  <si>
    <t>Evergreen Health Center</t>
  </si>
  <si>
    <t>Colorado</t>
  </si>
  <si>
    <t>Steven Lewis</t>
  </si>
  <si>
    <t>Pinecrest Hospital</t>
  </si>
  <si>
    <t>Alaska</t>
  </si>
  <si>
    <t>Karen Taylor</t>
  </si>
  <si>
    <t>Minneapolis</t>
  </si>
  <si>
    <t>Riverstone Hospital</t>
  </si>
  <si>
    <t>Kyle Harris</t>
  </si>
  <si>
    <t>Sunshine Clinic</t>
  </si>
  <si>
    <t>Hawaii</t>
  </si>
  <si>
    <t>Michelle Lewis</t>
  </si>
  <si>
    <t>Desert Hills Hospital</t>
  </si>
  <si>
    <t>Mark Taylor</t>
  </si>
  <si>
    <t>Oceanview Hospital</t>
  </si>
  <si>
    <t>Maine</t>
  </si>
  <si>
    <t>Jessica Johnson</t>
  </si>
  <si>
    <t>Cheyenne</t>
  </si>
  <si>
    <t>Maplewood Health Center</t>
  </si>
  <si>
    <t>Connecticut</t>
  </si>
  <si>
    <t>Brian Adams</t>
  </si>
  <si>
    <t>Wilmington</t>
  </si>
  <si>
    <t>Blue Valley Hospital</t>
  </si>
  <si>
    <t>Lauren Taylor</t>
  </si>
  <si>
    <t>Green Hills Hospital</t>
  </si>
  <si>
    <t>Arizona</t>
  </si>
  <si>
    <t>Crystal Lake Hospital</t>
  </si>
  <si>
    <t>Forest Park Hospital</t>
  </si>
  <si>
    <t>Pleasant View Hospital</t>
  </si>
  <si>
    <t>South Dakota</t>
  </si>
  <si>
    <t>Sarah Davis</t>
  </si>
  <si>
    <t>Cedar Ridge Hospital</t>
  </si>
  <si>
    <t>Brian Miller</t>
  </si>
  <si>
    <t>Miami</t>
  </si>
  <si>
    <t>Valley Heights Hospital</t>
  </si>
  <si>
    <t>Washington</t>
  </si>
  <si>
    <t>Michelle Adams</t>
  </si>
  <si>
    <t>Salt Lake City</t>
  </si>
  <si>
    <t>Maple Hill Hospital</t>
  </si>
  <si>
    <t>Eric Taylor</t>
  </si>
  <si>
    <t>Seattle</t>
  </si>
  <si>
    <t>Willow Creek Hospital</t>
  </si>
  <si>
    <t>Utah</t>
  </si>
  <si>
    <t>Laura Clark</t>
  </si>
  <si>
    <t>Steven Wilson</t>
  </si>
  <si>
    <t>Blue Ridge Hospital</t>
  </si>
  <si>
    <t>Karen Martinez</t>
  </si>
  <si>
    <t>Camden</t>
  </si>
  <si>
    <t>Summit Hill Hospital</t>
  </si>
  <si>
    <t>Paul Johnson</t>
  </si>
  <si>
    <t>Jessica Davis</t>
  </si>
  <si>
    <t>Eric Brown</t>
  </si>
  <si>
    <t>Charleston</t>
  </si>
  <si>
    <t>John Smith</t>
  </si>
  <si>
    <t>Red River Hospital</t>
  </si>
  <si>
    <t>Lisa Johnson</t>
  </si>
  <si>
    <t>Blue Sky Hospital</t>
  </si>
  <si>
    <t>Michael Williams</t>
  </si>
  <si>
    <t>Cedar Rapids</t>
  </si>
  <si>
    <t>Mountain View Hospital</t>
  </si>
  <si>
    <t>New York</t>
  </si>
  <si>
    <t>David Taylor</t>
  </si>
  <si>
    <t>Oak Hill Hospital</t>
  </si>
  <si>
    <t>Emily Martinez</t>
  </si>
  <si>
    <t>Brian Wilson</t>
  </si>
  <si>
    <t>Megan White</t>
  </si>
  <si>
    <t>Cedar Falls Hospital</t>
  </si>
  <si>
    <t>Iowa</t>
  </si>
  <si>
    <t>Jason Thompson</t>
  </si>
  <si>
    <t>Highland Hospital</t>
  </si>
  <si>
    <t>Karen Lewis</t>
  </si>
  <si>
    <t>Grand Junction</t>
  </si>
  <si>
    <t>North Carolina</t>
  </si>
  <si>
    <t>Steven Robinson</t>
  </si>
  <si>
    <t>Lisa Davis</t>
  </si>
  <si>
    <t>Dallas</t>
  </si>
  <si>
    <t>Lakeview Hospital</t>
  </si>
  <si>
    <t>Matthew Jackson</t>
  </si>
  <si>
    <t>Jennifer Wilson</t>
  </si>
  <si>
    <t>Robert Harris</t>
  </si>
  <si>
    <t>Patricia Green</t>
  </si>
  <si>
    <t>Cleveland</t>
  </si>
  <si>
    <t>Woodland Hospital</t>
  </si>
  <si>
    <t>Amy Johnson</t>
  </si>
  <si>
    <t>Sunrise Hospital</t>
  </si>
  <si>
    <t>Jason Miller</t>
  </si>
  <si>
    <t>Omaha</t>
  </si>
  <si>
    <t>Harvest Hospital</t>
  </si>
  <si>
    <t>Michelle Thomas</t>
  </si>
  <si>
    <t>Willow Springs Hospital</t>
  </si>
  <si>
    <t>Brian King</t>
  </si>
  <si>
    <t>Hartford</t>
  </si>
  <si>
    <t>New Hampshire</t>
  </si>
  <si>
    <t>Minnesota</t>
  </si>
  <si>
    <t>Las Vegas</t>
  </si>
  <si>
    <t>Phoenix</t>
  </si>
  <si>
    <t>Anchorage</t>
  </si>
  <si>
    <t>Los Angeles</t>
  </si>
  <si>
    <t>Laura Green</t>
  </si>
  <si>
    <t>Brian Williams</t>
  </si>
  <si>
    <t>Emily Lewis</t>
  </si>
  <si>
    <t>Matthew Clark</t>
  </si>
  <si>
    <t>Fargo</t>
  </si>
  <si>
    <t>Charlotte</t>
  </si>
  <si>
    <t>Columbus</t>
  </si>
  <si>
    <t>Grand Rapids</t>
  </si>
  <si>
    <t>Boston</t>
  </si>
  <si>
    <t>Rockford</t>
  </si>
  <si>
    <t>Values</t>
  </si>
  <si>
    <t>KPI Details</t>
  </si>
  <si>
    <t xml:space="preserve"> Total Patients</t>
  </si>
  <si>
    <t xml:space="preserve"> Patients in ICU</t>
  </si>
  <si>
    <t xml:space="preserve"> Avg Days of Discharge</t>
  </si>
  <si>
    <t xml:space="preserve"> Re-admit Patients</t>
  </si>
  <si>
    <t xml:space="preserve"> Total Died</t>
  </si>
  <si>
    <t>1st Graph</t>
  </si>
  <si>
    <t>Row Labels</t>
  </si>
  <si>
    <t>Grand Total</t>
  </si>
  <si>
    <t>2nd Graph</t>
  </si>
  <si>
    <t>Acutal Value</t>
  </si>
  <si>
    <t>Max Value</t>
  </si>
  <si>
    <t>3rd Graph</t>
  </si>
  <si>
    <t>4th Graph</t>
  </si>
  <si>
    <t>5th Graph</t>
  </si>
  <si>
    <t>Row Lables</t>
  </si>
  <si>
    <t>6th Graph</t>
  </si>
  <si>
    <t xml:space="preserve">  Re-admit Patients</t>
  </si>
  <si>
    <t>7th Graph</t>
  </si>
  <si>
    <t xml:space="preserve"> LOS Bucket </t>
  </si>
  <si>
    <t>LOS Buck</t>
  </si>
  <si>
    <t>LOS Bucket2</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</si>
</sst>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Aptos Narrow"/>
      <family val="2"/>
      <scheme val="minor"/>
    </font>
    <font>
      <b/>
      <sz val="11"/>
      <color theme="1"/>
      <name val="Calibri"/>
      <family val="2"/>
    </font>
    <font>
      <sz val="11"/>
      <color theme="1"/>
      <name val="Calibri"/>
      <family val="2"/>
    </font>
    <font>
      <sz val="11"/>
      <color theme="1"/>
      <name val="Aptos Narrow"/>
      <family val="2"/>
      <scheme val="minor"/>
    </font>
    <font>
      <b/>
      <sz val="11"/>
      <color theme="1"/>
      <name val="Aptos Narrow"/>
      <family val="2"/>
      <scheme val="minor"/>
    </font>
    <font>
      <b/>
      <sz val="11"/>
      <color theme="1"/>
      <name val="Aptos Narrow"/>
      <scheme val="minor"/>
    </font>
    <font>
      <b/>
      <sz val="11"/>
      <color rgb="FFFF0000"/>
      <name val="Aptos Narrow"/>
      <scheme val="minor"/>
    </font>
    <font>
      <b/>
      <sz val="11"/>
      <name val="Aptos Narrow"/>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3" fillId="0" borderId="0" applyFont="0" applyFill="0" applyBorder="0" applyAlignment="0" applyProtection="0"/>
  </cellStyleXfs>
  <cellXfs count="22">
    <xf numFmtId="0" fontId="0" fillId="0" borderId="0" xfId="0"/>
    <xf numFmtId="0" fontId="1" fillId="0" borderId="0" xfId="0" applyFont="1" applyAlignment="1">
      <alignment horizontal="left" vertical="center" wrapText="1"/>
    </xf>
    <xf numFmtId="15" fontId="2" fillId="0" borderId="0" xfId="0" applyNumberFormat="1" applyFont="1" applyAlignment="1">
      <alignment vertical="center"/>
    </xf>
    <xf numFmtId="0" fontId="2" fillId="0" borderId="0" xfId="0" applyFont="1" applyAlignment="1">
      <alignment vertical="center"/>
    </xf>
    <xf numFmtId="0" fontId="0" fillId="0" borderId="0" xfId="0" applyNumberFormat="1"/>
    <xf numFmtId="0" fontId="0" fillId="0" borderId="0" xfId="0" pivotButton="1"/>
    <xf numFmtId="0" fontId="0" fillId="0" borderId="0" xfId="0" applyAlignment="1">
      <alignment horizontal="left"/>
    </xf>
    <xf numFmtId="0" fontId="5" fillId="0" borderId="0" xfId="0" applyFont="1"/>
    <xf numFmtId="0" fontId="6" fillId="0" borderId="0" xfId="0" applyFont="1" applyAlignment="1">
      <alignment horizontal="left"/>
    </xf>
    <xf numFmtId="0" fontId="6" fillId="0" borderId="0" xfId="0" applyNumberFormat="1" applyFont="1"/>
    <xf numFmtId="0" fontId="6" fillId="0" borderId="0" xfId="0" applyFont="1"/>
    <xf numFmtId="0" fontId="5" fillId="2" borderId="0" xfId="0" applyFont="1" applyFill="1"/>
    <xf numFmtId="0" fontId="0" fillId="2" borderId="0" xfId="0" applyFill="1"/>
    <xf numFmtId="0" fontId="4" fillId="2" borderId="1" xfId="0" applyFont="1" applyFill="1" applyBorder="1"/>
    <xf numFmtId="0" fontId="0" fillId="2" borderId="0" xfId="0" applyFill="1" applyAlignment="1">
      <alignment horizontal="left"/>
    </xf>
    <xf numFmtId="0" fontId="0" fillId="2" borderId="0" xfId="0" applyNumberFormat="1" applyFill="1"/>
    <xf numFmtId="9" fontId="0" fillId="0" borderId="0" xfId="1" applyFont="1"/>
    <xf numFmtId="9" fontId="0" fillId="0" borderId="0" xfId="0" applyNumberFormat="1"/>
    <xf numFmtId="0" fontId="7" fillId="2" borderId="0" xfId="0" applyFont="1" applyFill="1"/>
    <xf numFmtId="14" fontId="0" fillId="0" borderId="0" xfId="0" applyNumberFormat="1"/>
    <xf numFmtId="2" fontId="0" fillId="0" borderId="0" xfId="0" applyNumberFormat="1"/>
    <xf numFmtId="0" fontId="4" fillId="3" borderId="2" xfId="0" applyFont="1" applyFill="1" applyBorder="1" applyAlignment="1">
      <alignment horizontal="left"/>
    </xf>
  </cellXfs>
  <cellStyles count="2">
    <cellStyle name="Normal" xfId="0" builtinId="0"/>
    <cellStyle name="Percent" xfId="1" builtinId="5"/>
  </cellStyles>
  <dxfs count="82">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numFmt numFmtId="2" formatCode="0.0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numFmt numFmtId="19" formatCode="yyyy/mm/dd"/>
    </dxf>
    <dxf>
      <numFmt numFmtId="19" formatCode="yyyy/mm/dd"/>
    </dxf>
    <dxf>
      <numFmt numFmtId="19" formatCode="yyyy/mm/dd"/>
    </dxf>
    <dxf>
      <numFmt numFmtId="19" formatCode="yyyy/mm/dd"/>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dd\-mmm\-yy"/>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dd\-mmm\-yy"/>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scheme val="none"/>
      </font>
      <fill>
        <patternFill patternType="none">
          <fgColor indexed="64"/>
          <bgColor auto="1"/>
        </patternFill>
      </fill>
      <alignment horizontal="left" vertical="center" textRotation="0" wrapText="1" indent="0" justifyLastLine="0" shrinkToFit="0" readingOrder="0"/>
    </dxf>
  </dxfs>
  <tableStyles count="0" defaultTableStyle="TableStyleMedium2" defaultPivotStyle="PivotStyleLight16"/>
  <colors>
    <mruColors>
      <color rgb="FF09C9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cked"/>
        <c:varyColors val="0"/>
        <c:ser>
          <c:idx val="0"/>
          <c:order val="0"/>
          <c:marker>
            <c:symbol val="none"/>
          </c:marker>
          <c:cat>
            <c:strRef>
              <c:f>Sheet1!$L$4:$L$57</c:f>
              <c:strCache>
                <c:ptCount val="54"/>
                <c:pt idx="0">
                  <c:v>Albuquerque</c:v>
                </c:pt>
                <c:pt idx="1">
                  <c:v>Anchorage</c:v>
                </c:pt>
                <c:pt idx="2">
                  <c:v>Atlanta</c:v>
                </c:pt>
                <c:pt idx="3">
                  <c:v>Billings</c:v>
                </c:pt>
                <c:pt idx="4">
                  <c:v>Boise</c:v>
                </c:pt>
                <c:pt idx="5">
                  <c:v>Boston</c:v>
                </c:pt>
                <c:pt idx="6">
                  <c:v>Camden</c:v>
                </c:pt>
                <c:pt idx="7">
                  <c:v>Carson City</c:v>
                </c:pt>
                <c:pt idx="8">
                  <c:v>Cedar Rapids</c:v>
                </c:pt>
                <c:pt idx="9">
                  <c:v>Charleston</c:v>
                </c:pt>
                <c:pt idx="10">
                  <c:v>Charlotte</c:v>
                </c:pt>
                <c:pt idx="11">
                  <c:v>Cheyenne</c:v>
                </c:pt>
                <c:pt idx="12">
                  <c:v>Chicago</c:v>
                </c:pt>
                <c:pt idx="13">
                  <c:v>Cleveland</c:v>
                </c:pt>
                <c:pt idx="14">
                  <c:v>Columbia</c:v>
                </c:pt>
                <c:pt idx="15">
                  <c:v>Columbus</c:v>
                </c:pt>
                <c:pt idx="16">
                  <c:v>Concord</c:v>
                </c:pt>
                <c:pt idx="17">
                  <c:v>Dallas</c:v>
                </c:pt>
                <c:pt idx="18">
                  <c:v>Denver</c:v>
                </c:pt>
                <c:pt idx="19">
                  <c:v>Detroit</c:v>
                </c:pt>
                <c:pt idx="20">
                  <c:v>Eugene</c:v>
                </c:pt>
                <c:pt idx="21">
                  <c:v>Fargo</c:v>
                </c:pt>
                <c:pt idx="22">
                  <c:v>Grand Junction</c:v>
                </c:pt>
                <c:pt idx="23">
                  <c:v>Grand Rapids</c:v>
                </c:pt>
                <c:pt idx="24">
                  <c:v>Hartford</c:v>
                </c:pt>
                <c:pt idx="25">
                  <c:v>Hilo</c:v>
                </c:pt>
                <c:pt idx="26">
                  <c:v>Honolulu</c:v>
                </c:pt>
                <c:pt idx="27">
                  <c:v>Las Vegas</c:v>
                </c:pt>
                <c:pt idx="28">
                  <c:v>Lincoln</c:v>
                </c:pt>
                <c:pt idx="29">
                  <c:v>Los Angeles</c:v>
                </c:pt>
                <c:pt idx="30">
                  <c:v>Louisville</c:v>
                </c:pt>
                <c:pt idx="31">
                  <c:v>Miami</c:v>
                </c:pt>
                <c:pt idx="32">
                  <c:v>Milwaukee</c:v>
                </c:pt>
                <c:pt idx="33">
                  <c:v>Minneapolis</c:v>
                </c:pt>
                <c:pt idx="34">
                  <c:v>Montgomery</c:v>
                </c:pt>
                <c:pt idx="35">
                  <c:v>New York City</c:v>
                </c:pt>
                <c:pt idx="36">
                  <c:v>Newark</c:v>
                </c:pt>
                <c:pt idx="37">
                  <c:v>Omaha</c:v>
                </c:pt>
                <c:pt idx="38">
                  <c:v>Philadelphia</c:v>
                </c:pt>
                <c:pt idx="39">
                  <c:v>Phoenix</c:v>
                </c:pt>
                <c:pt idx="40">
                  <c:v>Pittsburgh</c:v>
                </c:pt>
                <c:pt idx="41">
                  <c:v>Portland</c:v>
                </c:pt>
                <c:pt idx="42">
                  <c:v>Reading</c:v>
                </c:pt>
                <c:pt idx="43">
                  <c:v>Richmond</c:v>
                </c:pt>
                <c:pt idx="44">
                  <c:v>Rockford</c:v>
                </c:pt>
                <c:pt idx="45">
                  <c:v>Salem</c:v>
                </c:pt>
                <c:pt idx="46">
                  <c:v>Salt Lake City</c:v>
                </c:pt>
                <c:pt idx="47">
                  <c:v>San Francisco</c:v>
                </c:pt>
                <c:pt idx="48">
                  <c:v>Seattle</c:v>
                </c:pt>
                <c:pt idx="49">
                  <c:v>Sioux Falls</c:v>
                </c:pt>
                <c:pt idx="50">
                  <c:v>Springfield</c:v>
                </c:pt>
                <c:pt idx="51">
                  <c:v>St. Louis</c:v>
                </c:pt>
                <c:pt idx="52">
                  <c:v>Tacoma</c:v>
                </c:pt>
                <c:pt idx="53">
                  <c:v>Wilmington</c:v>
                </c:pt>
              </c:strCache>
            </c:strRef>
          </c:cat>
          <c:val>
            <c:numRef>
              <c:f>Sheet1!$M$4:$M$57</c:f>
              <c:numCache>
                <c:formatCode>General</c:formatCode>
                <c:ptCount val="5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13</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numCache>
            </c:numRef>
          </c:val>
          <c:smooth val="0"/>
        </c:ser>
        <c:dLbls>
          <c:showLegendKey val="0"/>
          <c:showVal val="0"/>
          <c:showCatName val="0"/>
          <c:showSerName val="0"/>
          <c:showPercent val="0"/>
          <c:showBubbleSize val="0"/>
        </c:dLbls>
        <c:marker val="1"/>
        <c:smooth val="0"/>
        <c:axId val="230835712"/>
        <c:axId val="230837248"/>
      </c:lineChart>
      <c:catAx>
        <c:axId val="230835712"/>
        <c:scaling>
          <c:orientation val="minMax"/>
        </c:scaling>
        <c:delete val="0"/>
        <c:axPos val="b"/>
        <c:majorTickMark val="out"/>
        <c:minorTickMark val="none"/>
        <c:tickLblPos val="nextTo"/>
        <c:crossAx val="230837248"/>
        <c:crosses val="autoZero"/>
        <c:auto val="1"/>
        <c:lblAlgn val="ctr"/>
        <c:lblOffset val="100"/>
        <c:noMultiLvlLbl val="0"/>
      </c:catAx>
      <c:valAx>
        <c:axId val="230837248"/>
        <c:scaling>
          <c:orientation val="minMax"/>
        </c:scaling>
        <c:delete val="0"/>
        <c:axPos val="l"/>
        <c:majorGridlines/>
        <c:numFmt formatCode="General" sourceLinked="1"/>
        <c:majorTickMark val="out"/>
        <c:minorTickMark val="none"/>
        <c:tickLblPos val="nextTo"/>
        <c:crossAx val="230835712"/>
        <c:crosses val="autoZero"/>
        <c:crossBetween val="between"/>
      </c:valAx>
    </c:plotArea>
    <c:plotVisOnly val="1"/>
    <c:dispBlanksAs val="zero"/>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strRef>
              <c:f>Sheet1!$Q$17:$Q$23</c:f>
              <c:strCache>
                <c:ptCount val="7"/>
                <c:pt idx="0">
                  <c:v>11-15</c:v>
                </c:pt>
                <c:pt idx="1">
                  <c:v>16-20</c:v>
                </c:pt>
                <c:pt idx="2">
                  <c:v>21-25</c:v>
                </c:pt>
                <c:pt idx="3">
                  <c:v>26-30</c:v>
                </c:pt>
                <c:pt idx="4">
                  <c:v>31-45</c:v>
                </c:pt>
                <c:pt idx="5">
                  <c:v>46-60</c:v>
                </c:pt>
                <c:pt idx="6">
                  <c:v>61-75</c:v>
                </c:pt>
              </c:strCache>
            </c:strRef>
          </c:cat>
          <c:val>
            <c:numRef>
              <c:f>Sheet1!$R$17:$R$23</c:f>
              <c:numCache>
                <c:formatCode>General</c:formatCode>
                <c:ptCount val="7"/>
                <c:pt idx="0">
                  <c:v>0</c:v>
                </c:pt>
                <c:pt idx="1">
                  <c:v>0</c:v>
                </c:pt>
                <c:pt idx="2">
                  <c:v>0</c:v>
                </c:pt>
                <c:pt idx="3">
                  <c:v>0</c:v>
                </c:pt>
                <c:pt idx="4">
                  <c:v>1</c:v>
                </c:pt>
                <c:pt idx="5">
                  <c:v>0</c:v>
                </c:pt>
                <c:pt idx="6">
                  <c:v>0</c:v>
                </c:pt>
              </c:numCache>
            </c:numRef>
          </c:val>
        </c:ser>
        <c:ser>
          <c:idx val="1"/>
          <c:order val="1"/>
          <c:invertIfNegative val="0"/>
          <c:cat>
            <c:strRef>
              <c:f>Sheet1!$Q$17:$Q$23</c:f>
              <c:strCache>
                <c:ptCount val="7"/>
                <c:pt idx="0">
                  <c:v>11-15</c:v>
                </c:pt>
                <c:pt idx="1">
                  <c:v>16-20</c:v>
                </c:pt>
                <c:pt idx="2">
                  <c:v>21-25</c:v>
                </c:pt>
                <c:pt idx="3">
                  <c:v>26-30</c:v>
                </c:pt>
                <c:pt idx="4">
                  <c:v>31-45</c:v>
                </c:pt>
                <c:pt idx="5">
                  <c:v>46-60</c:v>
                </c:pt>
                <c:pt idx="6">
                  <c:v>61-75</c:v>
                </c:pt>
              </c:strCache>
            </c:strRef>
          </c:cat>
          <c:val>
            <c:numRef>
              <c:f>Sheet1!$S$17:$S$23</c:f>
              <c:numCache>
                <c:formatCode>General</c:formatCode>
                <c:ptCount val="7"/>
                <c:pt idx="0">
                  <c:v>0</c:v>
                </c:pt>
                <c:pt idx="1">
                  <c:v>0</c:v>
                </c:pt>
                <c:pt idx="2">
                  <c:v>0</c:v>
                </c:pt>
                <c:pt idx="3">
                  <c:v>0</c:v>
                </c:pt>
                <c:pt idx="4">
                  <c:v>1</c:v>
                </c:pt>
                <c:pt idx="5">
                  <c:v>0</c:v>
                </c:pt>
                <c:pt idx="6">
                  <c:v>0</c:v>
                </c:pt>
              </c:numCache>
            </c:numRef>
          </c:val>
        </c:ser>
        <c:dLbls>
          <c:showLegendKey val="0"/>
          <c:showVal val="0"/>
          <c:showCatName val="0"/>
          <c:showSerName val="0"/>
          <c:showPercent val="0"/>
          <c:showBubbleSize val="0"/>
        </c:dLbls>
        <c:gapWidth val="150"/>
        <c:axId val="230853632"/>
        <c:axId val="230871808"/>
      </c:barChart>
      <c:catAx>
        <c:axId val="230853632"/>
        <c:scaling>
          <c:orientation val="minMax"/>
        </c:scaling>
        <c:delete val="0"/>
        <c:axPos val="b"/>
        <c:majorTickMark val="out"/>
        <c:minorTickMark val="none"/>
        <c:tickLblPos val="nextTo"/>
        <c:crossAx val="230871808"/>
        <c:crosses val="autoZero"/>
        <c:auto val="1"/>
        <c:lblAlgn val="ctr"/>
        <c:lblOffset val="100"/>
        <c:noMultiLvlLbl val="0"/>
      </c:catAx>
      <c:valAx>
        <c:axId val="230871808"/>
        <c:scaling>
          <c:orientation val="minMax"/>
        </c:scaling>
        <c:delete val="0"/>
        <c:axPos val="l"/>
        <c:majorGridlines/>
        <c:numFmt formatCode="General" sourceLinked="1"/>
        <c:majorTickMark val="out"/>
        <c:minorTickMark val="none"/>
        <c:tickLblPos val="nextTo"/>
        <c:crossAx val="23085363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7826930582937719E-3"/>
          <c:y val="8.1906379535749821E-2"/>
          <c:w val="0.93888888888888888"/>
          <c:h val="0.86972281102546312"/>
        </c:manualLayout>
      </c:layout>
      <c:barChart>
        <c:barDir val="col"/>
        <c:grouping val="stacked"/>
        <c:varyColors val="0"/>
        <c:ser>
          <c:idx val="0"/>
          <c:order val="0"/>
          <c:spPr>
            <a:solidFill>
              <a:schemeClr val="accent1">
                <a:lumMod val="60000"/>
                <a:lumOff val="40000"/>
              </a:schemeClr>
            </a:solidFill>
          </c:spPr>
          <c:invertIfNegative val="0"/>
          <c:val>
            <c:numRef>
              <c:f>Sheet1!$C$17:$C$19</c:f>
              <c:numCache>
                <c:formatCode>0%</c:formatCode>
                <c:ptCount val="3"/>
                <c:pt idx="0">
                  <c:v>0</c:v>
                </c:pt>
                <c:pt idx="1">
                  <c:v>1</c:v>
                </c:pt>
              </c:numCache>
            </c:numRef>
          </c:val>
        </c:ser>
        <c:dLbls>
          <c:showLegendKey val="0"/>
          <c:showVal val="0"/>
          <c:showCatName val="0"/>
          <c:showSerName val="0"/>
          <c:showPercent val="0"/>
          <c:showBubbleSize val="0"/>
        </c:dLbls>
        <c:gapWidth val="129"/>
        <c:overlap val="100"/>
        <c:axId val="231711488"/>
        <c:axId val="231713024"/>
      </c:barChart>
      <c:catAx>
        <c:axId val="231711488"/>
        <c:scaling>
          <c:orientation val="minMax"/>
        </c:scaling>
        <c:delete val="1"/>
        <c:axPos val="b"/>
        <c:majorTickMark val="out"/>
        <c:minorTickMark val="none"/>
        <c:tickLblPos val="nextTo"/>
        <c:crossAx val="231713024"/>
        <c:crosses val="autoZero"/>
        <c:auto val="1"/>
        <c:lblAlgn val="ctr"/>
        <c:lblOffset val="100"/>
        <c:noMultiLvlLbl val="0"/>
      </c:catAx>
      <c:valAx>
        <c:axId val="231713024"/>
        <c:scaling>
          <c:orientation val="minMax"/>
        </c:scaling>
        <c:delete val="1"/>
        <c:axPos val="l"/>
        <c:majorGridlines>
          <c:spPr>
            <a:ln>
              <a:noFill/>
            </a:ln>
          </c:spPr>
        </c:majorGridlines>
        <c:numFmt formatCode="0%" sourceLinked="1"/>
        <c:majorTickMark val="out"/>
        <c:minorTickMark val="none"/>
        <c:tickLblPos val="nextTo"/>
        <c:crossAx val="231711488"/>
        <c:crosses val="autoZero"/>
        <c:crossBetween val="between"/>
      </c:valAx>
      <c:spPr>
        <a:noFill/>
      </c:spPr>
    </c:plotArea>
    <c:plotVisOnly val="1"/>
    <c:dispBlanksAs val="gap"/>
    <c:showDLblsOverMax val="0"/>
  </c:chart>
  <c:spPr>
    <a:noFill/>
    <a:ln>
      <a:noFill/>
    </a:ln>
  </c:spPr>
  <c:txPr>
    <a:bodyPr/>
    <a:lstStyle/>
    <a:p>
      <a:pPr>
        <a:defRPr lang="en-CA" sz="1100" b="1">
          <a:solidFill>
            <a:srgbClr val="0070C0"/>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400826027240565E-2"/>
          <c:y val="8.1599958878760884E-2"/>
          <c:w val="0.80876216968011128"/>
          <c:h val="0.91408638838118339"/>
        </c:manualLayout>
      </c:layout>
      <c:barChart>
        <c:barDir val="col"/>
        <c:grouping val="stacked"/>
        <c:varyColors val="0"/>
        <c:ser>
          <c:idx val="0"/>
          <c:order val="0"/>
          <c:invertIfNegative val="0"/>
          <c:dPt>
            <c:idx val="0"/>
            <c:invertIfNegative val="0"/>
            <c:bubble3D val="0"/>
            <c:spPr>
              <a:solidFill>
                <a:srgbClr val="C00000"/>
              </a:solidFill>
              <a:ln w="19050">
                <a:solidFill>
                  <a:srgbClr val="C00000"/>
                </a:solidFill>
              </a:ln>
            </c:spPr>
          </c:dPt>
          <c:val>
            <c:numRef>
              <c:f>Sheet1!$C$24</c:f>
              <c:numCache>
                <c:formatCode>0%</c:formatCode>
                <c:ptCount val="1"/>
                <c:pt idx="0">
                  <c:v>0.76923076923076927</c:v>
                </c:pt>
              </c:numCache>
            </c:numRef>
          </c:val>
        </c:ser>
        <c:ser>
          <c:idx val="1"/>
          <c:order val="1"/>
          <c:spPr>
            <a:noFill/>
            <a:ln w="19050">
              <a:solidFill>
                <a:srgbClr val="C00000"/>
              </a:solidFill>
            </a:ln>
          </c:spPr>
          <c:invertIfNegative val="0"/>
          <c:val>
            <c:numRef>
              <c:f>Sheet1!$D$24</c:f>
              <c:numCache>
                <c:formatCode>0%</c:formatCode>
                <c:ptCount val="1"/>
                <c:pt idx="0">
                  <c:v>1</c:v>
                </c:pt>
              </c:numCache>
            </c:numRef>
          </c:val>
        </c:ser>
        <c:dLbls>
          <c:showLegendKey val="0"/>
          <c:showVal val="0"/>
          <c:showCatName val="0"/>
          <c:showSerName val="0"/>
          <c:showPercent val="0"/>
          <c:showBubbleSize val="0"/>
        </c:dLbls>
        <c:gapWidth val="150"/>
        <c:overlap val="100"/>
        <c:axId val="232073856"/>
        <c:axId val="232075648"/>
      </c:barChart>
      <c:catAx>
        <c:axId val="232073856"/>
        <c:scaling>
          <c:orientation val="minMax"/>
        </c:scaling>
        <c:delete val="1"/>
        <c:axPos val="b"/>
        <c:majorTickMark val="out"/>
        <c:minorTickMark val="none"/>
        <c:tickLblPos val="nextTo"/>
        <c:crossAx val="232075648"/>
        <c:crosses val="autoZero"/>
        <c:auto val="1"/>
        <c:lblAlgn val="ctr"/>
        <c:lblOffset val="100"/>
        <c:noMultiLvlLbl val="0"/>
      </c:catAx>
      <c:valAx>
        <c:axId val="232075648"/>
        <c:scaling>
          <c:orientation val="minMax"/>
        </c:scaling>
        <c:delete val="1"/>
        <c:axPos val="l"/>
        <c:numFmt formatCode="0%" sourceLinked="1"/>
        <c:majorTickMark val="out"/>
        <c:minorTickMark val="none"/>
        <c:tickLblPos val="nextTo"/>
        <c:crossAx val="232073856"/>
        <c:crosses val="autoZero"/>
        <c:crossBetween val="between"/>
      </c:valAx>
    </c:plotArea>
    <c:plotVisOnly val="1"/>
    <c:dispBlanksAs val="gap"/>
    <c:showDLblsOverMax val="0"/>
  </c:chart>
  <c:spPr>
    <a:no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7320947589281175E-2"/>
          <c:y val="9.4698864583807038E-2"/>
          <c:w val="0.63085709203638762"/>
          <c:h val="0.8106022708323859"/>
        </c:manualLayout>
      </c:layout>
      <c:doughnutChart>
        <c:varyColors val="1"/>
        <c:ser>
          <c:idx val="0"/>
          <c:order val="0"/>
          <c:spPr>
            <a:solidFill>
              <a:srgbClr val="09C964"/>
            </a:solidFill>
          </c:spPr>
          <c:dPt>
            <c:idx val="0"/>
            <c:bubble3D val="0"/>
            <c:spPr>
              <a:solidFill>
                <a:schemeClr val="accent6">
                  <a:lumMod val="50000"/>
                </a:schemeClr>
              </a:solidFill>
            </c:spPr>
          </c:dPt>
          <c:dPt>
            <c:idx val="1"/>
            <c:bubble3D val="0"/>
            <c:spPr>
              <a:solidFill>
                <a:schemeClr val="accent6">
                  <a:lumMod val="75000"/>
                </a:schemeClr>
              </a:solidFill>
            </c:spPr>
          </c:dPt>
          <c:dPt>
            <c:idx val="2"/>
            <c:bubble3D val="0"/>
            <c:spPr>
              <a:solidFill>
                <a:srgbClr val="92D050"/>
              </a:solidFill>
            </c:spPr>
          </c:dPt>
          <c:dPt>
            <c:idx val="3"/>
            <c:bubble3D val="0"/>
            <c:spPr>
              <a:solidFill>
                <a:schemeClr val="accent6">
                  <a:lumMod val="60000"/>
                  <a:lumOff val="40000"/>
                </a:schemeClr>
              </a:solidFill>
            </c:spPr>
          </c:dPt>
          <c:dPt>
            <c:idx val="4"/>
            <c:bubble3D val="0"/>
            <c:spPr>
              <a:solidFill>
                <a:schemeClr val="accent6">
                  <a:lumMod val="40000"/>
                  <a:lumOff val="60000"/>
                </a:schemeClr>
              </a:solidFill>
            </c:spPr>
          </c:dPt>
          <c:dPt>
            <c:idx val="5"/>
            <c:bubble3D val="0"/>
            <c:spPr>
              <a:solidFill>
                <a:schemeClr val="accent6">
                  <a:lumMod val="20000"/>
                  <a:lumOff val="80000"/>
                </a:schemeClr>
              </a:solidFill>
            </c:spPr>
          </c:dPt>
          <c:dPt>
            <c:idx val="6"/>
            <c:bubble3D val="0"/>
            <c:spPr>
              <a:solidFill>
                <a:schemeClr val="accent6">
                  <a:lumMod val="20000"/>
                  <a:lumOff val="80000"/>
                </a:schemeClr>
              </a:solidFill>
            </c:spPr>
          </c:dPt>
          <c:dLbls>
            <c:showLegendKey val="0"/>
            <c:showVal val="1"/>
            <c:showCatName val="0"/>
            <c:showSerName val="0"/>
            <c:showPercent val="0"/>
            <c:showBubbleSize val="0"/>
            <c:showLeaderLines val="1"/>
          </c:dLbls>
          <c:cat>
            <c:strRef>
              <c:f>Sheet1!$E$17:$E$23</c:f>
              <c:strCache>
                <c:ptCount val="1"/>
                <c:pt idx="0">
                  <c:v>Emergency</c:v>
                </c:pt>
              </c:strCache>
            </c:strRef>
          </c:cat>
          <c:val>
            <c:numRef>
              <c:f>Sheet1!$F$17:$F$23</c:f>
              <c:numCache>
                <c:formatCode>General</c:formatCode>
                <c:ptCount val="7"/>
                <c:pt idx="0">
                  <c:v>13</c:v>
                </c:pt>
                <c:pt idx="1">
                  <c:v>0</c:v>
                </c:pt>
                <c:pt idx="2">
                  <c:v>0</c:v>
                </c:pt>
                <c:pt idx="3">
                  <c:v>0</c:v>
                </c:pt>
                <c:pt idx="4">
                  <c:v>0</c:v>
                </c:pt>
                <c:pt idx="5">
                  <c:v>0</c:v>
                </c:pt>
                <c:pt idx="6">
                  <c:v>0</c:v>
                </c:pt>
              </c:numCache>
            </c:numRef>
          </c:val>
        </c:ser>
        <c:dLbls>
          <c:showLegendKey val="0"/>
          <c:showVal val="0"/>
          <c:showCatName val="0"/>
          <c:showSerName val="0"/>
          <c:showPercent val="0"/>
          <c:showBubbleSize val="0"/>
          <c:showLeaderLines val="1"/>
        </c:dLbls>
        <c:firstSliceAng val="0"/>
        <c:holeSize val="59"/>
      </c:doughnutChart>
      <c:spPr>
        <a:noFill/>
        <a:ln>
          <a:noFill/>
        </a:ln>
      </c:spPr>
    </c:plotArea>
    <c:legend>
      <c:legendPos val="r"/>
      <c:layout/>
      <c:overlay val="0"/>
    </c:legend>
    <c:plotVisOnly val="1"/>
    <c:dispBlanksAs val="gap"/>
    <c:showDLblsOverMax val="0"/>
  </c:chart>
  <c:spPr>
    <a:no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2605289498054013"/>
          <c:y val="0.16397171544869504"/>
          <c:w val="0.67026146835184419"/>
          <c:h val="0.7878013094193359"/>
        </c:manualLayout>
      </c:layout>
      <c:barChart>
        <c:barDir val="bar"/>
        <c:grouping val="clustered"/>
        <c:varyColors val="0"/>
        <c:ser>
          <c:idx val="0"/>
          <c:order val="0"/>
          <c:spPr>
            <a:solidFill>
              <a:schemeClr val="accent6"/>
            </a:solidFill>
          </c:spPr>
          <c:invertIfNegative val="0"/>
          <c:dLbls>
            <c:showLegendKey val="0"/>
            <c:showVal val="1"/>
            <c:showCatName val="0"/>
            <c:showSerName val="0"/>
            <c:showPercent val="0"/>
            <c:showBubbleSize val="0"/>
            <c:showLeaderLines val="0"/>
          </c:dLbls>
          <c:cat>
            <c:strRef>
              <c:f>Sheet1!$G$17:$G$23</c:f>
              <c:strCache>
                <c:ptCount val="7"/>
                <c:pt idx="0">
                  <c:v>General</c:v>
                </c:pt>
                <c:pt idx="1">
                  <c:v>Cardiac</c:v>
                </c:pt>
                <c:pt idx="2">
                  <c:v>Trauma</c:v>
                </c:pt>
                <c:pt idx="3">
                  <c:v>Vascular</c:v>
                </c:pt>
                <c:pt idx="4">
                  <c:v>Orthopedic</c:v>
                </c:pt>
                <c:pt idx="5">
                  <c:v>Gynecology</c:v>
                </c:pt>
                <c:pt idx="6">
                  <c:v>Endocrinology</c:v>
                </c:pt>
              </c:strCache>
            </c:strRef>
          </c:cat>
          <c:val>
            <c:numRef>
              <c:f>Sheet1!$H$17:$H$23</c:f>
              <c:numCache>
                <c:formatCode>General</c:formatCode>
                <c:ptCount val="7"/>
                <c:pt idx="0">
                  <c:v>0</c:v>
                </c:pt>
                <c:pt idx="1">
                  <c:v>0</c:v>
                </c:pt>
                <c:pt idx="2">
                  <c:v>13</c:v>
                </c:pt>
                <c:pt idx="3">
                  <c:v>0</c:v>
                </c:pt>
                <c:pt idx="4">
                  <c:v>0</c:v>
                </c:pt>
                <c:pt idx="5">
                  <c:v>0</c:v>
                </c:pt>
                <c:pt idx="6">
                  <c:v>0</c:v>
                </c:pt>
              </c:numCache>
            </c:numRef>
          </c:val>
        </c:ser>
        <c:dLbls>
          <c:showLegendKey val="0"/>
          <c:showVal val="0"/>
          <c:showCatName val="0"/>
          <c:showSerName val="0"/>
          <c:showPercent val="0"/>
          <c:showBubbleSize val="0"/>
        </c:dLbls>
        <c:gapWidth val="150"/>
        <c:axId val="231812480"/>
        <c:axId val="231822464"/>
      </c:barChart>
      <c:catAx>
        <c:axId val="231812480"/>
        <c:scaling>
          <c:orientation val="minMax"/>
        </c:scaling>
        <c:delete val="0"/>
        <c:axPos val="l"/>
        <c:majorTickMark val="out"/>
        <c:minorTickMark val="none"/>
        <c:tickLblPos val="nextTo"/>
        <c:crossAx val="231822464"/>
        <c:crosses val="autoZero"/>
        <c:auto val="1"/>
        <c:lblAlgn val="ctr"/>
        <c:lblOffset val="100"/>
        <c:noMultiLvlLbl val="0"/>
      </c:catAx>
      <c:valAx>
        <c:axId val="231822464"/>
        <c:scaling>
          <c:orientation val="minMax"/>
        </c:scaling>
        <c:delete val="1"/>
        <c:axPos val="b"/>
        <c:numFmt formatCode="General" sourceLinked="1"/>
        <c:majorTickMark val="out"/>
        <c:minorTickMark val="none"/>
        <c:tickLblPos val="nextTo"/>
        <c:crossAx val="231812480"/>
        <c:crosses val="autoZero"/>
        <c:crossBetween val="between"/>
      </c:valAx>
      <c:spPr>
        <a:noFill/>
        <a:ln>
          <a:noFill/>
        </a:ln>
      </c:spPr>
    </c:plotArea>
    <c:plotVisOnly val="1"/>
    <c:dispBlanksAs val="gap"/>
    <c:showDLblsOverMax val="0"/>
  </c:chart>
  <c:spPr>
    <a:noFill/>
  </c:spPr>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293963254593169E-2"/>
          <c:y val="0.125"/>
          <c:w val="0.8700393700787401"/>
          <c:h val="0.50302456984543598"/>
        </c:manualLayout>
      </c:layout>
      <c:lineChart>
        <c:grouping val="stacked"/>
        <c:varyColors val="0"/>
        <c:ser>
          <c:idx val="0"/>
          <c:order val="0"/>
          <c:spPr>
            <a:ln>
              <a:solidFill>
                <a:srgbClr val="C00000"/>
              </a:solidFill>
            </a:ln>
          </c:spPr>
          <c:marker>
            <c:symbol val="none"/>
          </c:marker>
          <c:dPt>
            <c:idx val="4"/>
            <c:bubble3D val="0"/>
          </c:dPt>
          <c:cat>
            <c:strRef>
              <c:f>Sheet1!$L$4:$L$57</c:f>
              <c:strCache>
                <c:ptCount val="54"/>
                <c:pt idx="0">
                  <c:v>Albuquerque</c:v>
                </c:pt>
                <c:pt idx="1">
                  <c:v>Anchorage</c:v>
                </c:pt>
                <c:pt idx="2">
                  <c:v>Atlanta</c:v>
                </c:pt>
                <c:pt idx="3">
                  <c:v>Billings</c:v>
                </c:pt>
                <c:pt idx="4">
                  <c:v>Boise</c:v>
                </c:pt>
                <c:pt idx="5">
                  <c:v>Boston</c:v>
                </c:pt>
                <c:pt idx="6">
                  <c:v>Camden</c:v>
                </c:pt>
                <c:pt idx="7">
                  <c:v>Carson City</c:v>
                </c:pt>
                <c:pt idx="8">
                  <c:v>Cedar Rapids</c:v>
                </c:pt>
                <c:pt idx="9">
                  <c:v>Charleston</c:v>
                </c:pt>
                <c:pt idx="10">
                  <c:v>Charlotte</c:v>
                </c:pt>
                <c:pt idx="11">
                  <c:v>Cheyenne</c:v>
                </c:pt>
                <c:pt idx="12">
                  <c:v>Chicago</c:v>
                </c:pt>
                <c:pt idx="13">
                  <c:v>Cleveland</c:v>
                </c:pt>
                <c:pt idx="14">
                  <c:v>Columbia</c:v>
                </c:pt>
                <c:pt idx="15">
                  <c:v>Columbus</c:v>
                </c:pt>
                <c:pt idx="16">
                  <c:v>Concord</c:v>
                </c:pt>
                <c:pt idx="17">
                  <c:v>Dallas</c:v>
                </c:pt>
                <c:pt idx="18">
                  <c:v>Denver</c:v>
                </c:pt>
                <c:pt idx="19">
                  <c:v>Detroit</c:v>
                </c:pt>
                <c:pt idx="20">
                  <c:v>Eugene</c:v>
                </c:pt>
                <c:pt idx="21">
                  <c:v>Fargo</c:v>
                </c:pt>
                <c:pt idx="22">
                  <c:v>Grand Junction</c:v>
                </c:pt>
                <c:pt idx="23">
                  <c:v>Grand Rapids</c:v>
                </c:pt>
                <c:pt idx="24">
                  <c:v>Hartford</c:v>
                </c:pt>
                <c:pt idx="25">
                  <c:v>Hilo</c:v>
                </c:pt>
                <c:pt idx="26">
                  <c:v>Honolulu</c:v>
                </c:pt>
                <c:pt idx="27">
                  <c:v>Las Vegas</c:v>
                </c:pt>
                <c:pt idx="28">
                  <c:v>Lincoln</c:v>
                </c:pt>
                <c:pt idx="29">
                  <c:v>Los Angeles</c:v>
                </c:pt>
                <c:pt idx="30">
                  <c:v>Louisville</c:v>
                </c:pt>
                <c:pt idx="31">
                  <c:v>Miami</c:v>
                </c:pt>
                <c:pt idx="32">
                  <c:v>Milwaukee</c:v>
                </c:pt>
                <c:pt idx="33">
                  <c:v>Minneapolis</c:v>
                </c:pt>
                <c:pt idx="34">
                  <c:v>Montgomery</c:v>
                </c:pt>
                <c:pt idx="35">
                  <c:v>New York City</c:v>
                </c:pt>
                <c:pt idx="36">
                  <c:v>Newark</c:v>
                </c:pt>
                <c:pt idx="37">
                  <c:v>Omaha</c:v>
                </c:pt>
                <c:pt idx="38">
                  <c:v>Philadelphia</c:v>
                </c:pt>
                <c:pt idx="39">
                  <c:v>Phoenix</c:v>
                </c:pt>
                <c:pt idx="40">
                  <c:v>Pittsburgh</c:v>
                </c:pt>
                <c:pt idx="41">
                  <c:v>Portland</c:v>
                </c:pt>
                <c:pt idx="42">
                  <c:v>Reading</c:v>
                </c:pt>
                <c:pt idx="43">
                  <c:v>Richmond</c:v>
                </c:pt>
                <c:pt idx="44">
                  <c:v>Rockford</c:v>
                </c:pt>
                <c:pt idx="45">
                  <c:v>Salem</c:v>
                </c:pt>
                <c:pt idx="46">
                  <c:v>Salt Lake City</c:v>
                </c:pt>
                <c:pt idx="47">
                  <c:v>San Francisco</c:v>
                </c:pt>
                <c:pt idx="48">
                  <c:v>Seattle</c:v>
                </c:pt>
                <c:pt idx="49">
                  <c:v>Sioux Falls</c:v>
                </c:pt>
                <c:pt idx="50">
                  <c:v>Springfield</c:v>
                </c:pt>
                <c:pt idx="51">
                  <c:v>St. Louis</c:v>
                </c:pt>
                <c:pt idx="52">
                  <c:v>Tacoma</c:v>
                </c:pt>
                <c:pt idx="53">
                  <c:v>Wilmington</c:v>
                </c:pt>
              </c:strCache>
            </c:strRef>
          </c:cat>
          <c:val>
            <c:numRef>
              <c:f>Sheet1!$M$4:$M$57</c:f>
              <c:numCache>
                <c:formatCode>General</c:formatCode>
                <c:ptCount val="5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13</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numCache>
            </c:numRef>
          </c:val>
          <c:smooth val="0"/>
        </c:ser>
        <c:dLbls>
          <c:showLegendKey val="0"/>
          <c:showVal val="0"/>
          <c:showCatName val="0"/>
          <c:showSerName val="0"/>
          <c:showPercent val="0"/>
          <c:showBubbleSize val="0"/>
        </c:dLbls>
        <c:marker val="1"/>
        <c:smooth val="0"/>
        <c:axId val="231855232"/>
        <c:axId val="231856768"/>
      </c:lineChart>
      <c:catAx>
        <c:axId val="231855232"/>
        <c:scaling>
          <c:orientation val="minMax"/>
        </c:scaling>
        <c:delete val="0"/>
        <c:axPos val="b"/>
        <c:majorTickMark val="out"/>
        <c:minorTickMark val="none"/>
        <c:tickLblPos val="nextTo"/>
        <c:crossAx val="231856768"/>
        <c:crosses val="autoZero"/>
        <c:auto val="1"/>
        <c:lblAlgn val="ctr"/>
        <c:lblOffset val="100"/>
        <c:noMultiLvlLbl val="0"/>
      </c:catAx>
      <c:valAx>
        <c:axId val="231856768"/>
        <c:scaling>
          <c:orientation val="minMax"/>
        </c:scaling>
        <c:delete val="0"/>
        <c:axPos val="l"/>
        <c:numFmt formatCode="General" sourceLinked="1"/>
        <c:majorTickMark val="out"/>
        <c:minorTickMark val="none"/>
        <c:tickLblPos val="nextTo"/>
        <c:crossAx val="231855232"/>
        <c:crosses val="autoZero"/>
        <c:crossBetween val="between"/>
      </c:valAx>
      <c:spPr>
        <a:noFill/>
      </c:spPr>
    </c:plotArea>
    <c:plotVisOnly val="1"/>
    <c:dispBlanksAs val="zero"/>
    <c:showDLblsOverMax val="0"/>
  </c:chart>
  <c:spPr>
    <a:no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dLbls>
            <c:showLegendKey val="0"/>
            <c:showVal val="1"/>
            <c:showCatName val="0"/>
            <c:showSerName val="0"/>
            <c:showPercent val="0"/>
            <c:showBubbleSize val="0"/>
            <c:showLeaderLines val="0"/>
          </c:dLbls>
          <c:cat>
            <c:strRef>
              <c:f>Sheet1!$N$17:$N$23</c:f>
              <c:strCache>
                <c:ptCount val="7"/>
                <c:pt idx="0">
                  <c:v>Trauma</c:v>
                </c:pt>
                <c:pt idx="1">
                  <c:v>0</c:v>
                </c:pt>
                <c:pt idx="2">
                  <c:v>0</c:v>
                </c:pt>
                <c:pt idx="3">
                  <c:v>0</c:v>
                </c:pt>
                <c:pt idx="4">
                  <c:v>0</c:v>
                </c:pt>
                <c:pt idx="5">
                  <c:v>0</c:v>
                </c:pt>
                <c:pt idx="6">
                  <c:v>0</c:v>
                </c:pt>
              </c:strCache>
            </c:strRef>
          </c:cat>
          <c:val>
            <c:numRef>
              <c:f>Sheet1!$O$17:$O$23</c:f>
              <c:numCache>
                <c:formatCode>General</c:formatCode>
                <c:ptCount val="7"/>
                <c:pt idx="0">
                  <c:v>10</c:v>
                </c:pt>
                <c:pt idx="1">
                  <c:v>0</c:v>
                </c:pt>
                <c:pt idx="2">
                  <c:v>0</c:v>
                </c:pt>
                <c:pt idx="3">
                  <c:v>0</c:v>
                </c:pt>
                <c:pt idx="4">
                  <c:v>0</c:v>
                </c:pt>
                <c:pt idx="5">
                  <c:v>0</c:v>
                </c:pt>
                <c:pt idx="6">
                  <c:v>0</c:v>
                </c:pt>
              </c:numCache>
            </c:numRef>
          </c:val>
        </c:ser>
        <c:dLbls>
          <c:showLegendKey val="0"/>
          <c:showVal val="0"/>
          <c:showCatName val="0"/>
          <c:showSerName val="0"/>
          <c:showPercent val="0"/>
          <c:showBubbleSize val="0"/>
        </c:dLbls>
        <c:gapWidth val="52"/>
        <c:axId val="231944192"/>
        <c:axId val="231945728"/>
      </c:barChart>
      <c:catAx>
        <c:axId val="231944192"/>
        <c:scaling>
          <c:orientation val="minMax"/>
        </c:scaling>
        <c:delete val="0"/>
        <c:axPos val="b"/>
        <c:numFmt formatCode="General" sourceLinked="1"/>
        <c:majorTickMark val="out"/>
        <c:minorTickMark val="none"/>
        <c:tickLblPos val="nextTo"/>
        <c:crossAx val="231945728"/>
        <c:crosses val="autoZero"/>
        <c:auto val="1"/>
        <c:lblAlgn val="ctr"/>
        <c:lblOffset val="100"/>
        <c:noMultiLvlLbl val="0"/>
      </c:catAx>
      <c:valAx>
        <c:axId val="231945728"/>
        <c:scaling>
          <c:orientation val="minMax"/>
        </c:scaling>
        <c:delete val="1"/>
        <c:axPos val="l"/>
        <c:numFmt formatCode="General" sourceLinked="1"/>
        <c:majorTickMark val="out"/>
        <c:minorTickMark val="none"/>
        <c:tickLblPos val="nextTo"/>
        <c:crossAx val="231944192"/>
        <c:crosses val="autoZero"/>
        <c:crossBetween val="between"/>
      </c:valAx>
    </c:plotArea>
    <c:plotVisOnly val="1"/>
    <c:dispBlanksAs val="gap"/>
    <c:showDLblsOverMax val="0"/>
  </c:chart>
  <c:spPr>
    <a:noFill/>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927976834035219E-3"/>
          <c:y val="4.4386495408771882E-2"/>
          <c:w val="0.94925140598411806"/>
          <c:h val="0.83929753572470112"/>
        </c:manualLayout>
      </c:layout>
      <c:barChart>
        <c:barDir val="col"/>
        <c:grouping val="stacked"/>
        <c:varyColors val="0"/>
        <c:ser>
          <c:idx val="0"/>
          <c:order val="0"/>
          <c:spPr>
            <a:solidFill>
              <a:srgbClr val="C00000"/>
            </a:solidFill>
          </c:spPr>
          <c:invertIfNegative val="0"/>
          <c:cat>
            <c:strRef>
              <c:f>Sheet1!$Q$17:$Q$23</c:f>
              <c:strCache>
                <c:ptCount val="7"/>
                <c:pt idx="0">
                  <c:v>11-15</c:v>
                </c:pt>
                <c:pt idx="1">
                  <c:v>16-20</c:v>
                </c:pt>
                <c:pt idx="2">
                  <c:v>21-25</c:v>
                </c:pt>
                <c:pt idx="3">
                  <c:v>26-30</c:v>
                </c:pt>
                <c:pt idx="4">
                  <c:v>31-45</c:v>
                </c:pt>
                <c:pt idx="5">
                  <c:v>46-60</c:v>
                </c:pt>
                <c:pt idx="6">
                  <c:v>61-75</c:v>
                </c:pt>
              </c:strCache>
            </c:strRef>
          </c:cat>
          <c:val>
            <c:numRef>
              <c:f>Sheet1!$R$17:$R$23</c:f>
              <c:numCache>
                <c:formatCode>General</c:formatCode>
                <c:ptCount val="7"/>
                <c:pt idx="0">
                  <c:v>0</c:v>
                </c:pt>
                <c:pt idx="1">
                  <c:v>0</c:v>
                </c:pt>
                <c:pt idx="2">
                  <c:v>0</c:v>
                </c:pt>
                <c:pt idx="3">
                  <c:v>0</c:v>
                </c:pt>
                <c:pt idx="4">
                  <c:v>1</c:v>
                </c:pt>
                <c:pt idx="5">
                  <c:v>0</c:v>
                </c:pt>
                <c:pt idx="6">
                  <c:v>0</c:v>
                </c:pt>
              </c:numCache>
            </c:numRef>
          </c:val>
        </c:ser>
        <c:ser>
          <c:idx val="1"/>
          <c:order val="1"/>
          <c:spPr>
            <a:solidFill>
              <a:srgbClr val="C00000"/>
            </a:solidFill>
          </c:spPr>
          <c:invertIfNegative val="0"/>
          <c:dLbls>
            <c:showLegendKey val="0"/>
            <c:showVal val="1"/>
            <c:showCatName val="0"/>
            <c:showSerName val="0"/>
            <c:showPercent val="0"/>
            <c:showBubbleSize val="0"/>
            <c:showLeaderLines val="0"/>
          </c:dLbls>
          <c:cat>
            <c:strRef>
              <c:f>Sheet1!$Q$17:$Q$23</c:f>
              <c:strCache>
                <c:ptCount val="7"/>
                <c:pt idx="0">
                  <c:v>11-15</c:v>
                </c:pt>
                <c:pt idx="1">
                  <c:v>16-20</c:v>
                </c:pt>
                <c:pt idx="2">
                  <c:v>21-25</c:v>
                </c:pt>
                <c:pt idx="3">
                  <c:v>26-30</c:v>
                </c:pt>
                <c:pt idx="4">
                  <c:v>31-45</c:v>
                </c:pt>
                <c:pt idx="5">
                  <c:v>46-60</c:v>
                </c:pt>
                <c:pt idx="6">
                  <c:v>61-75</c:v>
                </c:pt>
              </c:strCache>
            </c:strRef>
          </c:cat>
          <c:val>
            <c:numRef>
              <c:f>Sheet1!$S$17:$S$23</c:f>
              <c:numCache>
                <c:formatCode>General</c:formatCode>
                <c:ptCount val="7"/>
                <c:pt idx="0">
                  <c:v>0</c:v>
                </c:pt>
                <c:pt idx="1">
                  <c:v>0</c:v>
                </c:pt>
                <c:pt idx="2">
                  <c:v>0</c:v>
                </c:pt>
                <c:pt idx="3">
                  <c:v>0</c:v>
                </c:pt>
                <c:pt idx="4">
                  <c:v>1</c:v>
                </c:pt>
                <c:pt idx="5">
                  <c:v>0</c:v>
                </c:pt>
                <c:pt idx="6">
                  <c:v>0</c:v>
                </c:pt>
              </c:numCache>
            </c:numRef>
          </c:val>
        </c:ser>
        <c:dLbls>
          <c:showLegendKey val="0"/>
          <c:showVal val="0"/>
          <c:showCatName val="0"/>
          <c:showSerName val="0"/>
          <c:showPercent val="0"/>
          <c:showBubbleSize val="0"/>
        </c:dLbls>
        <c:gapWidth val="324"/>
        <c:overlap val="100"/>
        <c:axId val="231986688"/>
        <c:axId val="231988224"/>
      </c:barChart>
      <c:catAx>
        <c:axId val="231986688"/>
        <c:scaling>
          <c:orientation val="minMax"/>
        </c:scaling>
        <c:delete val="0"/>
        <c:axPos val="b"/>
        <c:majorTickMark val="out"/>
        <c:minorTickMark val="none"/>
        <c:tickLblPos val="nextTo"/>
        <c:crossAx val="231988224"/>
        <c:crosses val="autoZero"/>
        <c:auto val="1"/>
        <c:lblAlgn val="ctr"/>
        <c:lblOffset val="100"/>
        <c:noMultiLvlLbl val="0"/>
      </c:catAx>
      <c:valAx>
        <c:axId val="231988224"/>
        <c:scaling>
          <c:orientation val="minMax"/>
        </c:scaling>
        <c:delete val="1"/>
        <c:axPos val="l"/>
        <c:numFmt formatCode="General" sourceLinked="1"/>
        <c:majorTickMark val="out"/>
        <c:minorTickMark val="none"/>
        <c:tickLblPos val="nextTo"/>
        <c:crossAx val="231986688"/>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image" Target="../media/image5.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image" Target="../media/image4.png"/><Relationship Id="rId5" Type="http://schemas.openxmlformats.org/officeDocument/2006/relationships/chart" Target="../charts/chart7.xml"/><Relationship Id="rId10" Type="http://schemas.openxmlformats.org/officeDocument/2006/relationships/image" Target="../media/image3.png"/><Relationship Id="rId4" Type="http://schemas.openxmlformats.org/officeDocument/2006/relationships/chart" Target="../charts/chart6.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5</xdr:col>
      <xdr:colOff>750093</xdr:colOff>
      <xdr:row>37</xdr:row>
      <xdr:rowOff>104775</xdr:rowOff>
    </xdr:from>
    <xdr:to>
      <xdr:col>11</xdr:col>
      <xdr:colOff>142875</xdr:colOff>
      <xdr:row>52</xdr:row>
      <xdr:rowOff>169069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309562</xdr:colOff>
      <xdr:row>9</xdr:row>
      <xdr:rowOff>80963</xdr:rowOff>
    </xdr:from>
    <xdr:to>
      <xdr:col>12</xdr:col>
      <xdr:colOff>785812</xdr:colOff>
      <xdr:row>24</xdr:row>
      <xdr:rowOff>109538</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9526</xdr:rowOff>
    </xdr:from>
    <xdr:to>
      <xdr:col>21</xdr:col>
      <xdr:colOff>238125</xdr:colOff>
      <xdr:row>39</xdr:row>
      <xdr:rowOff>140073</xdr:rowOff>
    </xdr:to>
    <xdr:sp macro="" textlink="">
      <xdr:nvSpPr>
        <xdr:cNvPr id="2" name="Rectangle 1"/>
        <xdr:cNvSpPr/>
      </xdr:nvSpPr>
      <xdr:spPr>
        <a:xfrm>
          <a:off x="0" y="9526"/>
          <a:ext cx="14651691" cy="7232275"/>
        </a:xfrm>
        <a:prstGeom prst="rect">
          <a:avLst/>
        </a:prstGeom>
        <a:solidFill>
          <a:schemeClr val="bg1">
            <a:lumMod val="85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0</xdr:col>
      <xdr:colOff>0</xdr:colOff>
      <xdr:row>0</xdr:row>
      <xdr:rowOff>0</xdr:rowOff>
    </xdr:from>
    <xdr:to>
      <xdr:col>21</xdr:col>
      <xdr:colOff>154081</xdr:colOff>
      <xdr:row>4</xdr:row>
      <xdr:rowOff>122465</xdr:rowOff>
    </xdr:to>
    <xdr:sp macro="" textlink="">
      <xdr:nvSpPr>
        <xdr:cNvPr id="3" name="Rectangle 2"/>
        <xdr:cNvSpPr/>
      </xdr:nvSpPr>
      <xdr:spPr>
        <a:xfrm>
          <a:off x="0" y="0"/>
          <a:ext cx="14567647" cy="8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0</xdr:col>
      <xdr:colOff>83563</xdr:colOff>
      <xdr:row>33</xdr:row>
      <xdr:rowOff>139194</xdr:rowOff>
    </xdr:from>
    <xdr:to>
      <xdr:col>3</xdr:col>
      <xdr:colOff>126065</xdr:colOff>
      <xdr:row>39</xdr:row>
      <xdr:rowOff>56029</xdr:rowOff>
    </xdr:to>
    <xdr:sp macro="" textlink="">
      <xdr:nvSpPr>
        <xdr:cNvPr id="5" name="Rectangle 4"/>
        <xdr:cNvSpPr/>
      </xdr:nvSpPr>
      <xdr:spPr>
        <a:xfrm>
          <a:off x="83563" y="6148348"/>
          <a:ext cx="2101583" cy="100940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xdr:col>
      <xdr:colOff>210110</xdr:colOff>
      <xdr:row>10</xdr:row>
      <xdr:rowOff>145115</xdr:rowOff>
    </xdr:from>
    <xdr:to>
      <xdr:col>8</xdr:col>
      <xdr:colOff>294154</xdr:colOff>
      <xdr:row>25</xdr:row>
      <xdr:rowOff>12005</xdr:rowOff>
    </xdr:to>
    <xdr:sp macro="" textlink="">
      <xdr:nvSpPr>
        <xdr:cNvPr id="9" name="Rectangle 8"/>
        <xdr:cNvSpPr/>
      </xdr:nvSpPr>
      <xdr:spPr>
        <a:xfrm>
          <a:off x="2269191" y="1966071"/>
          <a:ext cx="3515845" cy="259832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8</xdr:col>
      <xdr:colOff>346423</xdr:colOff>
      <xdr:row>10</xdr:row>
      <xdr:rowOff>144713</xdr:rowOff>
    </xdr:from>
    <xdr:to>
      <xdr:col>11</xdr:col>
      <xdr:colOff>448236</xdr:colOff>
      <xdr:row>24</xdr:row>
      <xdr:rowOff>180093</xdr:rowOff>
    </xdr:to>
    <xdr:sp macro="" textlink="">
      <xdr:nvSpPr>
        <xdr:cNvPr id="10" name="Rectangle 9"/>
        <xdr:cNvSpPr/>
      </xdr:nvSpPr>
      <xdr:spPr>
        <a:xfrm>
          <a:off x="5837305" y="1965669"/>
          <a:ext cx="2160894" cy="258471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11</xdr:col>
      <xdr:colOff>502905</xdr:colOff>
      <xdr:row>10</xdr:row>
      <xdr:rowOff>144713</xdr:rowOff>
    </xdr:from>
    <xdr:to>
      <xdr:col>16</xdr:col>
      <xdr:colOff>70036</xdr:colOff>
      <xdr:row>25</xdr:row>
      <xdr:rowOff>14007</xdr:rowOff>
    </xdr:to>
    <xdr:sp macro="" textlink="">
      <xdr:nvSpPr>
        <xdr:cNvPr id="11" name="Rectangle 10"/>
        <xdr:cNvSpPr/>
      </xdr:nvSpPr>
      <xdr:spPr>
        <a:xfrm>
          <a:off x="8052868" y="1965669"/>
          <a:ext cx="2998933" cy="260072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16</xdr:col>
      <xdr:colOff>140073</xdr:colOff>
      <xdr:row>10</xdr:row>
      <xdr:rowOff>126067</xdr:rowOff>
    </xdr:from>
    <xdr:to>
      <xdr:col>21</xdr:col>
      <xdr:colOff>154081</xdr:colOff>
      <xdr:row>25</xdr:row>
      <xdr:rowOff>28015</xdr:rowOff>
    </xdr:to>
    <xdr:sp macro="" textlink="">
      <xdr:nvSpPr>
        <xdr:cNvPr id="12" name="Rectangle 11"/>
        <xdr:cNvSpPr/>
      </xdr:nvSpPr>
      <xdr:spPr>
        <a:xfrm>
          <a:off x="11121838" y="1947023"/>
          <a:ext cx="3445809" cy="2633382"/>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xdr:col>
      <xdr:colOff>201144</xdr:colOff>
      <xdr:row>25</xdr:row>
      <xdr:rowOff>70036</xdr:rowOff>
    </xdr:from>
    <xdr:to>
      <xdr:col>9</xdr:col>
      <xdr:colOff>42022</xdr:colOff>
      <xdr:row>39</xdr:row>
      <xdr:rowOff>53627</xdr:rowOff>
    </xdr:to>
    <xdr:sp macro="" textlink="">
      <xdr:nvSpPr>
        <xdr:cNvPr id="13" name="Rectangle 12"/>
        <xdr:cNvSpPr/>
      </xdr:nvSpPr>
      <xdr:spPr>
        <a:xfrm>
          <a:off x="2260225" y="4622426"/>
          <a:ext cx="3959040" cy="253292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15</xdr:col>
      <xdr:colOff>28014</xdr:colOff>
      <xdr:row>25</xdr:row>
      <xdr:rowOff>59469</xdr:rowOff>
    </xdr:from>
    <xdr:to>
      <xdr:col>21</xdr:col>
      <xdr:colOff>140072</xdr:colOff>
      <xdr:row>39</xdr:row>
      <xdr:rowOff>28015</xdr:rowOff>
    </xdr:to>
    <xdr:sp macro="" textlink="">
      <xdr:nvSpPr>
        <xdr:cNvPr id="15" name="Rectangle 14"/>
        <xdr:cNvSpPr/>
      </xdr:nvSpPr>
      <xdr:spPr>
        <a:xfrm>
          <a:off x="10323418" y="4611859"/>
          <a:ext cx="4230220" cy="251788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9</xdr:col>
      <xdr:colOff>71076</xdr:colOff>
      <xdr:row>25</xdr:row>
      <xdr:rowOff>75477</xdr:rowOff>
    </xdr:from>
    <xdr:to>
      <xdr:col>14</xdr:col>
      <xdr:colOff>672353</xdr:colOff>
      <xdr:row>39</xdr:row>
      <xdr:rowOff>42023</xdr:rowOff>
    </xdr:to>
    <xdr:sp macro="" textlink="">
      <xdr:nvSpPr>
        <xdr:cNvPr id="16" name="Rectangle 15"/>
        <xdr:cNvSpPr/>
      </xdr:nvSpPr>
      <xdr:spPr>
        <a:xfrm>
          <a:off x="6248319" y="4627867"/>
          <a:ext cx="4033078" cy="251588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0</xdr:col>
      <xdr:colOff>100293</xdr:colOff>
      <xdr:row>27</xdr:row>
      <xdr:rowOff>180335</xdr:rowOff>
    </xdr:from>
    <xdr:to>
      <xdr:col>3</xdr:col>
      <xdr:colOff>142795</xdr:colOff>
      <xdr:row>33</xdr:row>
      <xdr:rowOff>97171</xdr:rowOff>
    </xdr:to>
    <xdr:sp macro="" textlink="">
      <xdr:nvSpPr>
        <xdr:cNvPr id="17" name="Rectangle 16"/>
        <xdr:cNvSpPr/>
      </xdr:nvSpPr>
      <xdr:spPr>
        <a:xfrm>
          <a:off x="100293" y="5096916"/>
          <a:ext cx="2101583" cy="100940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0</xdr:col>
      <xdr:colOff>103414</xdr:colOff>
      <xdr:row>22</xdr:row>
      <xdr:rowOff>42981</xdr:rowOff>
    </xdr:from>
    <xdr:to>
      <xdr:col>3</xdr:col>
      <xdr:colOff>145916</xdr:colOff>
      <xdr:row>27</xdr:row>
      <xdr:rowOff>141912</xdr:rowOff>
    </xdr:to>
    <xdr:sp macro="" textlink="">
      <xdr:nvSpPr>
        <xdr:cNvPr id="18" name="Rectangle 17"/>
        <xdr:cNvSpPr/>
      </xdr:nvSpPr>
      <xdr:spPr>
        <a:xfrm>
          <a:off x="103414" y="4049084"/>
          <a:ext cx="2101583" cy="100940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0</xdr:col>
      <xdr:colOff>115740</xdr:colOff>
      <xdr:row>16</xdr:row>
      <xdr:rowOff>83323</xdr:rowOff>
    </xdr:from>
    <xdr:to>
      <xdr:col>3</xdr:col>
      <xdr:colOff>158242</xdr:colOff>
      <xdr:row>22</xdr:row>
      <xdr:rowOff>158</xdr:rowOff>
    </xdr:to>
    <xdr:sp macro="" textlink="">
      <xdr:nvSpPr>
        <xdr:cNvPr id="19" name="Rectangle 18"/>
        <xdr:cNvSpPr/>
      </xdr:nvSpPr>
      <xdr:spPr>
        <a:xfrm>
          <a:off x="115740" y="2996852"/>
          <a:ext cx="2101583" cy="100940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0</xdr:col>
      <xdr:colOff>114058</xdr:colOff>
      <xdr:row>10</xdr:row>
      <xdr:rowOff>123664</xdr:rowOff>
    </xdr:from>
    <xdr:to>
      <xdr:col>3</xdr:col>
      <xdr:colOff>156560</xdr:colOff>
      <xdr:row>16</xdr:row>
      <xdr:rowOff>40500</xdr:rowOff>
    </xdr:to>
    <xdr:sp macro="" textlink="">
      <xdr:nvSpPr>
        <xdr:cNvPr id="20" name="Rectangle 19"/>
        <xdr:cNvSpPr/>
      </xdr:nvSpPr>
      <xdr:spPr>
        <a:xfrm>
          <a:off x="114058" y="1944620"/>
          <a:ext cx="2101583" cy="100940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4</xdr:col>
      <xdr:colOff>70037</xdr:colOff>
      <xdr:row>0</xdr:row>
      <xdr:rowOff>70038</xdr:rowOff>
    </xdr:from>
    <xdr:to>
      <xdr:col>18</xdr:col>
      <xdr:colOff>490258</xdr:colOff>
      <xdr:row>4</xdr:row>
      <xdr:rowOff>56030</xdr:rowOff>
    </xdr:to>
    <xdr:sp macro="" textlink="">
      <xdr:nvSpPr>
        <xdr:cNvPr id="4" name="TextBox 3"/>
        <xdr:cNvSpPr txBox="1"/>
      </xdr:nvSpPr>
      <xdr:spPr>
        <a:xfrm>
          <a:off x="2815478" y="70038"/>
          <a:ext cx="10029265" cy="714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3600" b="1">
              <a:solidFill>
                <a:schemeClr val="bg1"/>
              </a:solidFill>
            </a:rPr>
            <a:t>Hosptial &amp; Patient Performance Dashboard</a:t>
          </a:r>
        </a:p>
      </xdr:txBody>
    </xdr:sp>
    <xdr:clientData/>
  </xdr:twoCellAnchor>
  <xdr:twoCellAnchor editAs="oneCell">
    <xdr:from>
      <xdr:col>0</xdr:col>
      <xdr:colOff>112057</xdr:colOff>
      <xdr:row>4</xdr:row>
      <xdr:rowOff>154081</xdr:rowOff>
    </xdr:from>
    <xdr:to>
      <xdr:col>5</xdr:col>
      <xdr:colOff>182095</xdr:colOff>
      <xdr:row>10</xdr:row>
      <xdr:rowOff>98050</xdr:rowOff>
    </xdr:to>
    <mc:AlternateContent xmlns:mc="http://schemas.openxmlformats.org/markup-compatibility/2006" xmlns:a14="http://schemas.microsoft.com/office/drawing/2010/main">
      <mc:Choice Requires="a14">
        <xdr:graphicFrame macro="">
          <xdr:nvGraphicFramePr>
            <xdr:cNvPr id="21"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2057" y="882463"/>
              <a:ext cx="3501839" cy="1036543"/>
            </a:xfrm>
            <a:prstGeom prst="rect">
              <a:avLst/>
            </a:prstGeom>
            <a:solidFill>
              <a:prstClr val="white"/>
            </a:solidFill>
            <a:ln w="1">
              <a:solidFill>
                <a:prstClr val="green"/>
              </a:solidFill>
            </a:ln>
          </xdr:spPr>
          <xdr:txBody>
            <a:bodyPr vertOverflow="clip" horzOverflow="clip"/>
            <a:lstStyle/>
            <a:p>
              <a:r>
                <a:rPr lang="en-C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152398</xdr:colOff>
      <xdr:row>4</xdr:row>
      <xdr:rowOff>152401</xdr:rowOff>
    </xdr:from>
    <xdr:to>
      <xdr:col>10</xdr:col>
      <xdr:colOff>364191</xdr:colOff>
      <xdr:row>10</xdr:row>
      <xdr:rowOff>112059</xdr:rowOff>
    </xdr:to>
    <mc:AlternateContent xmlns:mc="http://schemas.openxmlformats.org/markup-compatibility/2006" xmlns:a14="http://schemas.microsoft.com/office/drawing/2010/main">
      <mc:Choice Requires="a14">
        <xdr:graphicFrame macro="">
          <xdr:nvGraphicFramePr>
            <xdr:cNvPr id="22" name="Physicians 1"/>
            <xdr:cNvGraphicFramePr/>
          </xdr:nvGraphicFramePr>
          <xdr:xfrm>
            <a:off x="0" y="0"/>
            <a:ext cx="0" cy="0"/>
          </xdr:xfrm>
          <a:graphic>
            <a:graphicData uri="http://schemas.microsoft.com/office/drawing/2010/slicer">
              <sle:slicer xmlns:sle="http://schemas.microsoft.com/office/drawing/2010/slicer" name="Physicians 1"/>
            </a:graphicData>
          </a:graphic>
        </xdr:graphicFrame>
      </mc:Choice>
      <mc:Fallback xmlns="">
        <xdr:sp macro="" textlink="">
          <xdr:nvSpPr>
            <xdr:cNvPr id="0" name=""/>
            <xdr:cNvSpPr>
              <a:spLocks noTextEdit="1"/>
            </xdr:cNvSpPr>
          </xdr:nvSpPr>
          <xdr:spPr>
            <a:xfrm>
              <a:off x="3584199" y="880783"/>
              <a:ext cx="3643595" cy="1052232"/>
            </a:xfrm>
            <a:prstGeom prst="rect">
              <a:avLst/>
            </a:prstGeom>
            <a:solidFill>
              <a:prstClr val="white"/>
            </a:solidFill>
            <a:ln w="1">
              <a:solidFill>
                <a:prstClr val="green"/>
              </a:solidFill>
            </a:ln>
          </xdr:spPr>
          <xdr:txBody>
            <a:bodyPr vertOverflow="clip" horzOverflow="clip"/>
            <a:lstStyle/>
            <a:p>
              <a:r>
                <a:rPr lang="en-C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108696</xdr:colOff>
      <xdr:row>4</xdr:row>
      <xdr:rowOff>178735</xdr:rowOff>
    </xdr:from>
    <xdr:to>
      <xdr:col>21</xdr:col>
      <xdr:colOff>154081</xdr:colOff>
      <xdr:row>10</xdr:row>
      <xdr:rowOff>98051</xdr:rowOff>
    </xdr:to>
    <mc:AlternateContent xmlns:mc="http://schemas.openxmlformats.org/markup-compatibility/2006" xmlns:a14="http://schemas.microsoft.com/office/drawing/2010/main">
      <mc:Choice Requires="a14">
        <xdr:graphicFrame macro="">
          <xdr:nvGraphicFramePr>
            <xdr:cNvPr id="23"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090461" y="907117"/>
              <a:ext cx="3477186" cy="1011890"/>
            </a:xfrm>
            <a:prstGeom prst="rect">
              <a:avLst/>
            </a:prstGeom>
            <a:solidFill>
              <a:prstClr val="white"/>
            </a:solidFill>
            <a:ln w="1">
              <a:solidFill>
                <a:prstClr val="green"/>
              </a:solidFill>
            </a:ln>
          </xdr:spPr>
          <xdr:txBody>
            <a:bodyPr vertOverflow="clip" horzOverflow="clip"/>
            <a:lstStyle/>
            <a:p>
              <a:r>
                <a:rPr lang="en-C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373155</xdr:colOff>
      <xdr:row>4</xdr:row>
      <xdr:rowOff>163047</xdr:rowOff>
    </xdr:from>
    <xdr:to>
      <xdr:col>16</xdr:col>
      <xdr:colOff>98051</xdr:colOff>
      <xdr:row>10</xdr:row>
      <xdr:rowOff>126066</xdr:rowOff>
    </xdr:to>
    <mc:AlternateContent xmlns:mc="http://schemas.openxmlformats.org/markup-compatibility/2006" xmlns:a14="http://schemas.microsoft.com/office/drawing/2010/main">
      <mc:Choice Requires="a14">
        <xdr:graphicFrame macro="">
          <xdr:nvGraphicFramePr>
            <xdr:cNvPr id="24"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236758" y="891429"/>
              <a:ext cx="3843058" cy="1055593"/>
            </a:xfrm>
            <a:prstGeom prst="rect">
              <a:avLst/>
            </a:prstGeom>
            <a:solidFill>
              <a:prstClr val="white"/>
            </a:solidFill>
            <a:ln w="1">
              <a:solidFill>
                <a:prstClr val="green"/>
              </a:solidFill>
            </a:ln>
          </xdr:spPr>
          <xdr:txBody>
            <a:bodyPr vertOverflow="clip" horzOverflow="clip"/>
            <a:lstStyle/>
            <a:p>
              <a:r>
                <a:rPr lang="en-C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182096</xdr:colOff>
      <xdr:row>11</xdr:row>
      <xdr:rowOff>0</xdr:rowOff>
    </xdr:from>
    <xdr:to>
      <xdr:col>3</xdr:col>
      <xdr:colOff>98050</xdr:colOff>
      <xdr:row>12</xdr:row>
      <xdr:rowOff>28015</xdr:rowOff>
    </xdr:to>
    <xdr:sp macro="" textlink="">
      <xdr:nvSpPr>
        <xdr:cNvPr id="6" name="TextBox 5"/>
        <xdr:cNvSpPr txBox="1"/>
      </xdr:nvSpPr>
      <xdr:spPr>
        <a:xfrm>
          <a:off x="182096" y="2003051"/>
          <a:ext cx="1975035" cy="2101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200" b="1"/>
            <a:t>Total Patient</a:t>
          </a:r>
        </a:p>
      </xdr:txBody>
    </xdr:sp>
    <xdr:clientData/>
  </xdr:twoCellAnchor>
  <xdr:twoCellAnchor>
    <xdr:from>
      <xdr:col>0</xdr:col>
      <xdr:colOff>210110</xdr:colOff>
      <xdr:row>16</xdr:row>
      <xdr:rowOff>98051</xdr:rowOff>
    </xdr:from>
    <xdr:to>
      <xdr:col>3</xdr:col>
      <xdr:colOff>98051</xdr:colOff>
      <xdr:row>18</xdr:row>
      <xdr:rowOff>14006</xdr:rowOff>
    </xdr:to>
    <xdr:sp macro="" textlink="">
      <xdr:nvSpPr>
        <xdr:cNvPr id="7" name="TextBox 6"/>
        <xdr:cNvSpPr txBox="1"/>
      </xdr:nvSpPr>
      <xdr:spPr>
        <a:xfrm>
          <a:off x="210110" y="3011580"/>
          <a:ext cx="1947022" cy="2801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100" b="1"/>
            <a:t>Patient in  ICU</a:t>
          </a:r>
        </a:p>
      </xdr:txBody>
    </xdr:sp>
    <xdr:clientData/>
  </xdr:twoCellAnchor>
  <xdr:twoCellAnchor>
    <xdr:from>
      <xdr:col>0</xdr:col>
      <xdr:colOff>168089</xdr:colOff>
      <xdr:row>22</xdr:row>
      <xdr:rowOff>84044</xdr:rowOff>
    </xdr:from>
    <xdr:to>
      <xdr:col>3</xdr:col>
      <xdr:colOff>84044</xdr:colOff>
      <xdr:row>24</xdr:row>
      <xdr:rowOff>28015</xdr:rowOff>
    </xdr:to>
    <xdr:sp macro="" textlink="">
      <xdr:nvSpPr>
        <xdr:cNvPr id="8" name="TextBox 7"/>
        <xdr:cNvSpPr txBox="1"/>
      </xdr:nvSpPr>
      <xdr:spPr>
        <a:xfrm>
          <a:off x="168089" y="4090147"/>
          <a:ext cx="1975036" cy="3081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100" b="1"/>
            <a:t>Died Patients</a:t>
          </a:r>
        </a:p>
      </xdr:txBody>
    </xdr:sp>
    <xdr:clientData/>
  </xdr:twoCellAnchor>
  <xdr:twoCellAnchor>
    <xdr:from>
      <xdr:col>0</xdr:col>
      <xdr:colOff>140074</xdr:colOff>
      <xdr:row>28</xdr:row>
      <xdr:rowOff>56031</xdr:rowOff>
    </xdr:from>
    <xdr:to>
      <xdr:col>3</xdr:col>
      <xdr:colOff>84044</xdr:colOff>
      <xdr:row>29</xdr:row>
      <xdr:rowOff>154081</xdr:rowOff>
    </xdr:to>
    <xdr:sp macro="" textlink="">
      <xdr:nvSpPr>
        <xdr:cNvPr id="14" name="TextBox 13"/>
        <xdr:cNvSpPr txBox="1"/>
      </xdr:nvSpPr>
      <xdr:spPr>
        <a:xfrm>
          <a:off x="140074" y="5154707"/>
          <a:ext cx="2003051" cy="2801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100" b="1"/>
            <a:t>Re</a:t>
          </a:r>
          <a:r>
            <a:rPr lang="en-CA" sz="1100" b="1" baseline="0"/>
            <a:t> Admit Patients</a:t>
          </a:r>
          <a:endParaRPr lang="en-CA" sz="1100" b="1"/>
        </a:p>
      </xdr:txBody>
    </xdr:sp>
    <xdr:clientData/>
  </xdr:twoCellAnchor>
  <xdr:twoCellAnchor>
    <xdr:from>
      <xdr:col>0</xdr:col>
      <xdr:colOff>154081</xdr:colOff>
      <xdr:row>34</xdr:row>
      <xdr:rowOff>14007</xdr:rowOff>
    </xdr:from>
    <xdr:to>
      <xdr:col>3</xdr:col>
      <xdr:colOff>28015</xdr:colOff>
      <xdr:row>35</xdr:row>
      <xdr:rowOff>154080</xdr:rowOff>
    </xdr:to>
    <xdr:sp macro="" textlink="">
      <xdr:nvSpPr>
        <xdr:cNvPr id="30" name="TextBox 29"/>
        <xdr:cNvSpPr txBox="1"/>
      </xdr:nvSpPr>
      <xdr:spPr>
        <a:xfrm>
          <a:off x="154081" y="6205257"/>
          <a:ext cx="1933015" cy="3221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100" b="1"/>
            <a:t>Avg Days of Discharge</a:t>
          </a:r>
        </a:p>
      </xdr:txBody>
    </xdr:sp>
    <xdr:clientData/>
  </xdr:twoCellAnchor>
  <xdr:twoCellAnchor>
    <xdr:from>
      <xdr:col>1</xdr:col>
      <xdr:colOff>56029</xdr:colOff>
      <xdr:row>12</xdr:row>
      <xdr:rowOff>112059</xdr:rowOff>
    </xdr:from>
    <xdr:to>
      <xdr:col>3</xdr:col>
      <xdr:colOff>84043</xdr:colOff>
      <xdr:row>15</xdr:row>
      <xdr:rowOff>70037</xdr:rowOff>
    </xdr:to>
    <xdr:sp macro="" textlink="Sheet1!B4">
      <xdr:nvSpPr>
        <xdr:cNvPr id="32" name="TextBox 31"/>
        <xdr:cNvSpPr txBox="1"/>
      </xdr:nvSpPr>
      <xdr:spPr>
        <a:xfrm>
          <a:off x="742389" y="2297206"/>
          <a:ext cx="1400735" cy="5042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749C9D6-D9FF-40B7-A44A-BFCEB43C915E}" type="TxLink">
            <a:rPr lang="en-CA" sz="2400" b="1">
              <a:solidFill>
                <a:srgbClr val="00B050"/>
              </a:solidFill>
            </a:rPr>
            <a:pPr algn="ctr"/>
            <a:t>13</a:t>
          </a:fld>
          <a:endParaRPr lang="en-CA" sz="2400" b="1">
            <a:solidFill>
              <a:srgbClr val="00B050"/>
            </a:solidFill>
          </a:endParaRPr>
        </a:p>
      </xdr:txBody>
    </xdr:sp>
    <xdr:clientData/>
  </xdr:twoCellAnchor>
  <xdr:twoCellAnchor>
    <xdr:from>
      <xdr:col>1</xdr:col>
      <xdr:colOff>84045</xdr:colOff>
      <xdr:row>18</xdr:row>
      <xdr:rowOff>42021</xdr:rowOff>
    </xdr:from>
    <xdr:to>
      <xdr:col>3</xdr:col>
      <xdr:colOff>112059</xdr:colOff>
      <xdr:row>21</xdr:row>
      <xdr:rowOff>0</xdr:rowOff>
    </xdr:to>
    <xdr:sp macro="" textlink="Sheet1!B5">
      <xdr:nvSpPr>
        <xdr:cNvPr id="37" name="TextBox 36"/>
        <xdr:cNvSpPr txBox="1"/>
      </xdr:nvSpPr>
      <xdr:spPr>
        <a:xfrm>
          <a:off x="770405" y="3319742"/>
          <a:ext cx="1400735" cy="5042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7F48B0E-14AD-4E14-B73D-BD989893FE3C}" type="TxLink">
            <a:rPr lang="en-CA" sz="2400" b="1">
              <a:solidFill>
                <a:srgbClr val="00B050"/>
              </a:solidFill>
            </a:rPr>
            <a:pPr algn="ctr"/>
            <a:t>3</a:t>
          </a:fld>
          <a:endParaRPr lang="en-CA" sz="2400" b="1">
            <a:solidFill>
              <a:srgbClr val="00B050"/>
            </a:solidFill>
          </a:endParaRPr>
        </a:p>
      </xdr:txBody>
    </xdr:sp>
    <xdr:clientData/>
  </xdr:twoCellAnchor>
  <xdr:twoCellAnchor>
    <xdr:from>
      <xdr:col>1</xdr:col>
      <xdr:colOff>42023</xdr:colOff>
      <xdr:row>24</xdr:row>
      <xdr:rowOff>14007</xdr:rowOff>
    </xdr:from>
    <xdr:to>
      <xdr:col>3</xdr:col>
      <xdr:colOff>70037</xdr:colOff>
      <xdr:row>26</xdr:row>
      <xdr:rowOff>154081</xdr:rowOff>
    </xdr:to>
    <xdr:sp macro="" textlink="Sheet1!B6">
      <xdr:nvSpPr>
        <xdr:cNvPr id="38" name="TextBox 37"/>
        <xdr:cNvSpPr txBox="1"/>
      </xdr:nvSpPr>
      <xdr:spPr>
        <a:xfrm>
          <a:off x="728383" y="4384301"/>
          <a:ext cx="1400735" cy="5042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76F2C54-5A89-4945-A0BA-A59D4EA14906}" type="TxLink">
            <a:rPr lang="en-CA" sz="2400" b="1">
              <a:solidFill>
                <a:srgbClr val="00B050"/>
              </a:solidFill>
            </a:rPr>
            <a:pPr algn="ctr"/>
            <a:t>10</a:t>
          </a:fld>
          <a:endParaRPr lang="en-CA" sz="2400" b="1">
            <a:solidFill>
              <a:srgbClr val="00B050"/>
            </a:solidFill>
          </a:endParaRPr>
        </a:p>
      </xdr:txBody>
    </xdr:sp>
    <xdr:clientData/>
  </xdr:twoCellAnchor>
  <xdr:twoCellAnchor>
    <xdr:from>
      <xdr:col>1</xdr:col>
      <xdr:colOff>70038</xdr:colOff>
      <xdr:row>29</xdr:row>
      <xdr:rowOff>112058</xdr:rowOff>
    </xdr:from>
    <xdr:to>
      <xdr:col>3</xdr:col>
      <xdr:colOff>98052</xdr:colOff>
      <xdr:row>32</xdr:row>
      <xdr:rowOff>70036</xdr:rowOff>
    </xdr:to>
    <xdr:sp macro="" textlink="Sheet1!B7">
      <xdr:nvSpPr>
        <xdr:cNvPr id="39" name="TextBox 38"/>
        <xdr:cNvSpPr txBox="1"/>
      </xdr:nvSpPr>
      <xdr:spPr>
        <a:xfrm>
          <a:off x="756398" y="5392830"/>
          <a:ext cx="1400735" cy="5042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5FE3674-D905-4899-9E82-78CCF934C78F}" type="TxLink">
            <a:rPr lang="en-CA" sz="2400" b="1">
              <a:solidFill>
                <a:srgbClr val="FF0000"/>
              </a:solidFill>
            </a:rPr>
            <a:pPr algn="ctr"/>
            <a:t>2</a:t>
          </a:fld>
          <a:endParaRPr lang="en-CA" sz="2400" b="1">
            <a:solidFill>
              <a:srgbClr val="FF0000"/>
            </a:solidFill>
          </a:endParaRPr>
        </a:p>
      </xdr:txBody>
    </xdr:sp>
    <xdr:clientData/>
  </xdr:twoCellAnchor>
  <xdr:twoCellAnchor>
    <xdr:from>
      <xdr:col>1</xdr:col>
      <xdr:colOff>70036</xdr:colOff>
      <xdr:row>35</xdr:row>
      <xdr:rowOff>126066</xdr:rowOff>
    </xdr:from>
    <xdr:to>
      <xdr:col>3</xdr:col>
      <xdr:colOff>98050</xdr:colOff>
      <xdr:row>38</xdr:row>
      <xdr:rowOff>84045</xdr:rowOff>
    </xdr:to>
    <xdr:sp macro="" textlink="Sheet1!B8">
      <xdr:nvSpPr>
        <xdr:cNvPr id="40" name="TextBox 39"/>
        <xdr:cNvSpPr txBox="1"/>
      </xdr:nvSpPr>
      <xdr:spPr>
        <a:xfrm>
          <a:off x="756396" y="6499412"/>
          <a:ext cx="1400735" cy="5042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644917-D909-49D5-AC78-916C11FFF05F}" type="TxLink">
            <a:rPr lang="en-CA" sz="2400" b="1">
              <a:solidFill>
                <a:srgbClr val="00B050"/>
              </a:solidFill>
            </a:rPr>
            <a:pPr algn="ctr"/>
            <a:t>0.00</a:t>
          </a:fld>
          <a:endParaRPr lang="en-CA" sz="2400" b="1">
            <a:solidFill>
              <a:srgbClr val="00B050"/>
            </a:solidFill>
          </a:endParaRPr>
        </a:p>
      </xdr:txBody>
    </xdr:sp>
    <xdr:clientData/>
  </xdr:twoCellAnchor>
  <xdr:twoCellAnchor>
    <xdr:from>
      <xdr:col>3</xdr:col>
      <xdr:colOff>336176</xdr:colOff>
      <xdr:row>13</xdr:row>
      <xdr:rowOff>98050</xdr:rowOff>
    </xdr:from>
    <xdr:to>
      <xdr:col>8</xdr:col>
      <xdr:colOff>112059</xdr:colOff>
      <xdr:row>22</xdr:row>
      <xdr:rowOff>126065</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238126</xdr:colOff>
      <xdr:row>23</xdr:row>
      <xdr:rowOff>14007</xdr:rowOff>
    </xdr:from>
    <xdr:to>
      <xdr:col>4</xdr:col>
      <xdr:colOff>280148</xdr:colOff>
      <xdr:row>24</xdr:row>
      <xdr:rowOff>154081</xdr:rowOff>
    </xdr:to>
    <xdr:sp macro="" textlink="">
      <xdr:nvSpPr>
        <xdr:cNvPr id="42" name="TextBox 41"/>
        <xdr:cNvSpPr txBox="1"/>
      </xdr:nvSpPr>
      <xdr:spPr>
        <a:xfrm>
          <a:off x="2297207" y="4202206"/>
          <a:ext cx="728382" cy="3221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a:solidFill>
                <a:srgbClr val="0070C0"/>
              </a:solidFill>
            </a:rPr>
            <a:t>Male -</a:t>
          </a:r>
        </a:p>
      </xdr:txBody>
    </xdr:sp>
    <xdr:clientData/>
  </xdr:twoCellAnchor>
  <xdr:twoCellAnchor>
    <xdr:from>
      <xdr:col>5</xdr:col>
      <xdr:colOff>182096</xdr:colOff>
      <xdr:row>23</xdr:row>
      <xdr:rowOff>0</xdr:rowOff>
    </xdr:from>
    <xdr:to>
      <xdr:col>6</xdr:col>
      <xdr:colOff>588309</xdr:colOff>
      <xdr:row>24</xdr:row>
      <xdr:rowOff>154081</xdr:rowOff>
    </xdr:to>
    <xdr:sp macro="" textlink="">
      <xdr:nvSpPr>
        <xdr:cNvPr id="45" name="TextBox 44"/>
        <xdr:cNvSpPr txBox="1"/>
      </xdr:nvSpPr>
      <xdr:spPr>
        <a:xfrm>
          <a:off x="3613897" y="4188199"/>
          <a:ext cx="1092574" cy="3361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a:solidFill>
                <a:srgbClr val="C00000"/>
              </a:solidFill>
            </a:rPr>
            <a:t>Female -</a:t>
          </a:r>
        </a:p>
      </xdr:txBody>
    </xdr:sp>
    <xdr:clientData/>
  </xdr:twoCellAnchor>
  <xdr:twoCellAnchor>
    <xdr:from>
      <xdr:col>4</xdr:col>
      <xdr:colOff>168089</xdr:colOff>
      <xdr:row>23</xdr:row>
      <xdr:rowOff>28014</xdr:rowOff>
    </xdr:from>
    <xdr:to>
      <xdr:col>5</xdr:col>
      <xdr:colOff>56031</xdr:colOff>
      <xdr:row>24</xdr:row>
      <xdr:rowOff>140074</xdr:rowOff>
    </xdr:to>
    <xdr:sp macro="" textlink="Sheet1!C17">
      <xdr:nvSpPr>
        <xdr:cNvPr id="47" name="TextBox 46"/>
        <xdr:cNvSpPr txBox="1"/>
      </xdr:nvSpPr>
      <xdr:spPr>
        <a:xfrm>
          <a:off x="2913530" y="4216213"/>
          <a:ext cx="574302" cy="2941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2213C1-3B3E-4E19-9A1C-1D543C273F3D}" type="TxLink">
            <a:rPr lang="en-CA" sz="1400" b="1">
              <a:solidFill>
                <a:srgbClr val="0070C0"/>
              </a:solidFill>
            </a:rPr>
            <a:pPr/>
            <a:t>0%</a:t>
          </a:fld>
          <a:endParaRPr lang="en-CA" sz="1400" b="1">
            <a:solidFill>
              <a:srgbClr val="0070C0"/>
            </a:solidFill>
          </a:endParaRPr>
        </a:p>
      </xdr:txBody>
    </xdr:sp>
    <xdr:clientData/>
  </xdr:twoCellAnchor>
  <xdr:twoCellAnchor>
    <xdr:from>
      <xdr:col>6</xdr:col>
      <xdr:colOff>392206</xdr:colOff>
      <xdr:row>22</xdr:row>
      <xdr:rowOff>168089</xdr:rowOff>
    </xdr:from>
    <xdr:to>
      <xdr:col>7</xdr:col>
      <xdr:colOff>434228</xdr:colOff>
      <xdr:row>24</xdr:row>
      <xdr:rowOff>112060</xdr:rowOff>
    </xdr:to>
    <xdr:sp macro="" textlink="Sheet1!D17">
      <xdr:nvSpPr>
        <xdr:cNvPr id="48" name="TextBox 47"/>
        <xdr:cNvSpPr txBox="1"/>
      </xdr:nvSpPr>
      <xdr:spPr>
        <a:xfrm>
          <a:off x="4510368" y="4174192"/>
          <a:ext cx="728382" cy="3081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883AC35-0BF7-4F89-A7C4-7D9492929BF5}" type="TxLink">
            <a:rPr lang="en-CA" sz="1400">
              <a:solidFill>
                <a:srgbClr val="C00000"/>
              </a:solidFill>
            </a:rPr>
            <a:pPr algn="ctr"/>
            <a:t>0%</a:t>
          </a:fld>
          <a:endParaRPr lang="en-CA" sz="1400">
            <a:solidFill>
              <a:srgbClr val="C00000"/>
            </a:solidFill>
          </a:endParaRPr>
        </a:p>
      </xdr:txBody>
    </xdr:sp>
    <xdr:clientData/>
  </xdr:twoCellAnchor>
  <xdr:twoCellAnchor>
    <xdr:from>
      <xdr:col>3</xdr:col>
      <xdr:colOff>434228</xdr:colOff>
      <xdr:row>10</xdr:row>
      <xdr:rowOff>168089</xdr:rowOff>
    </xdr:from>
    <xdr:to>
      <xdr:col>7</xdr:col>
      <xdr:colOff>658346</xdr:colOff>
      <xdr:row>12</xdr:row>
      <xdr:rowOff>98052</xdr:rowOff>
    </xdr:to>
    <xdr:sp macro="" textlink="">
      <xdr:nvSpPr>
        <xdr:cNvPr id="49" name="TextBox 48"/>
        <xdr:cNvSpPr txBox="1"/>
      </xdr:nvSpPr>
      <xdr:spPr>
        <a:xfrm>
          <a:off x="2493309" y="1989045"/>
          <a:ext cx="2969559" cy="294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200" b="1"/>
            <a:t>No of Patient % by Gender</a:t>
          </a:r>
        </a:p>
      </xdr:txBody>
    </xdr:sp>
    <xdr:clientData/>
  </xdr:twoCellAnchor>
  <xdr:twoCellAnchor>
    <xdr:from>
      <xdr:col>8</xdr:col>
      <xdr:colOff>518272</xdr:colOff>
      <xdr:row>13</xdr:row>
      <xdr:rowOff>14007</xdr:rowOff>
    </xdr:from>
    <xdr:to>
      <xdr:col>10</xdr:col>
      <xdr:colOff>672352</xdr:colOff>
      <xdr:row>21</xdr:row>
      <xdr:rowOff>112058</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210108</xdr:colOff>
      <xdr:row>21</xdr:row>
      <xdr:rowOff>1</xdr:rowOff>
    </xdr:from>
    <xdr:to>
      <xdr:col>10</xdr:col>
      <xdr:colOff>294153</xdr:colOff>
      <xdr:row>24</xdr:row>
      <xdr:rowOff>98052</xdr:rowOff>
    </xdr:to>
    <xdr:sp macro="" textlink="">
      <xdr:nvSpPr>
        <xdr:cNvPr id="51" name="Oval 50"/>
        <xdr:cNvSpPr/>
      </xdr:nvSpPr>
      <xdr:spPr>
        <a:xfrm>
          <a:off x="6387351" y="3824008"/>
          <a:ext cx="770405" cy="644338"/>
        </a:xfrm>
        <a:prstGeom prst="ellipse">
          <a:avLst/>
        </a:prstGeom>
        <a:solidFill>
          <a:srgbClr val="C00000"/>
        </a:solidFill>
        <a:ln w="190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8</xdr:col>
      <xdr:colOff>406214</xdr:colOff>
      <xdr:row>11</xdr:row>
      <xdr:rowOff>28015</xdr:rowOff>
    </xdr:from>
    <xdr:to>
      <xdr:col>11</xdr:col>
      <xdr:colOff>364191</xdr:colOff>
      <xdr:row>12</xdr:row>
      <xdr:rowOff>140074</xdr:rowOff>
    </xdr:to>
    <xdr:sp macro="" textlink="">
      <xdr:nvSpPr>
        <xdr:cNvPr id="52" name="TextBox 51"/>
        <xdr:cNvSpPr txBox="1"/>
      </xdr:nvSpPr>
      <xdr:spPr>
        <a:xfrm>
          <a:off x="5897096" y="2031066"/>
          <a:ext cx="2017058" cy="2941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200" b="1"/>
            <a:t>Re Admit</a:t>
          </a:r>
          <a:r>
            <a:rPr lang="en-CA" sz="1200" b="1" baseline="0"/>
            <a:t> Patients</a:t>
          </a:r>
          <a:endParaRPr lang="en-CA" sz="1200" b="1"/>
        </a:p>
      </xdr:txBody>
    </xdr:sp>
    <xdr:clientData/>
  </xdr:twoCellAnchor>
  <xdr:twoCellAnchor>
    <xdr:from>
      <xdr:col>9</xdr:col>
      <xdr:colOff>336177</xdr:colOff>
      <xdr:row>12</xdr:row>
      <xdr:rowOff>84044</xdr:rowOff>
    </xdr:from>
    <xdr:to>
      <xdr:col>10</xdr:col>
      <xdr:colOff>154081</xdr:colOff>
      <xdr:row>14</xdr:row>
      <xdr:rowOff>28015</xdr:rowOff>
    </xdr:to>
    <xdr:sp macro="" textlink="Sheet1!$C$24">
      <xdr:nvSpPr>
        <xdr:cNvPr id="53" name="TextBox 52"/>
        <xdr:cNvSpPr txBox="1"/>
      </xdr:nvSpPr>
      <xdr:spPr>
        <a:xfrm>
          <a:off x="6513420" y="2269191"/>
          <a:ext cx="504264" cy="3081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4C2D8B-E055-4B55-AAED-5BDCE5006DA3}" type="TxLink">
            <a:rPr lang="en-CA" sz="1200" b="1">
              <a:solidFill>
                <a:srgbClr val="C00000"/>
              </a:solidFill>
            </a:rPr>
            <a:pPr/>
            <a:t>77%</a:t>
          </a:fld>
          <a:endParaRPr lang="en-CA" sz="1200" b="1">
            <a:solidFill>
              <a:srgbClr val="C00000"/>
            </a:solidFill>
          </a:endParaRPr>
        </a:p>
      </xdr:txBody>
    </xdr:sp>
    <xdr:clientData/>
  </xdr:twoCellAnchor>
  <xdr:twoCellAnchor>
    <xdr:from>
      <xdr:col>11</xdr:col>
      <xdr:colOff>266140</xdr:colOff>
      <xdr:row>11</xdr:row>
      <xdr:rowOff>172728</xdr:rowOff>
    </xdr:from>
    <xdr:to>
      <xdr:col>16</xdr:col>
      <xdr:colOff>140074</xdr:colOff>
      <xdr:row>26</xdr:row>
      <xdr:rowOff>14007</xdr:rowOff>
    </xdr:to>
    <xdr:graphicFrame macro="">
      <xdr:nvGraphicFramePr>
        <xdr:cNvPr id="54" name="Chart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546287</xdr:colOff>
      <xdr:row>11</xdr:row>
      <xdr:rowOff>14009</xdr:rowOff>
    </xdr:from>
    <xdr:to>
      <xdr:col>16</xdr:col>
      <xdr:colOff>0</xdr:colOff>
      <xdr:row>12</xdr:row>
      <xdr:rowOff>168088</xdr:rowOff>
    </xdr:to>
    <xdr:sp macro="" textlink="">
      <xdr:nvSpPr>
        <xdr:cNvPr id="55" name="TextBox 54"/>
        <xdr:cNvSpPr txBox="1"/>
      </xdr:nvSpPr>
      <xdr:spPr>
        <a:xfrm>
          <a:off x="8096250" y="2017060"/>
          <a:ext cx="2885515" cy="336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200" b="1"/>
            <a:t>No of</a:t>
          </a:r>
          <a:r>
            <a:rPr lang="en-CA" sz="1200" b="1" baseline="0"/>
            <a:t> Patients by Division</a:t>
          </a:r>
          <a:endParaRPr lang="en-CA" sz="1200" b="1"/>
        </a:p>
      </xdr:txBody>
    </xdr:sp>
    <xdr:clientData/>
  </xdr:twoCellAnchor>
  <xdr:twoCellAnchor>
    <xdr:from>
      <xdr:col>16</xdr:col>
      <xdr:colOff>140073</xdr:colOff>
      <xdr:row>10</xdr:row>
      <xdr:rowOff>126067</xdr:rowOff>
    </xdr:from>
    <xdr:to>
      <xdr:col>21</xdr:col>
      <xdr:colOff>154081</xdr:colOff>
      <xdr:row>25</xdr:row>
      <xdr:rowOff>28014</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378198</xdr:colOff>
      <xdr:row>10</xdr:row>
      <xdr:rowOff>168088</xdr:rowOff>
    </xdr:from>
    <xdr:to>
      <xdr:col>20</xdr:col>
      <xdr:colOff>672353</xdr:colOff>
      <xdr:row>12</xdr:row>
      <xdr:rowOff>98052</xdr:rowOff>
    </xdr:to>
    <xdr:sp macro="" textlink="">
      <xdr:nvSpPr>
        <xdr:cNvPr id="57" name="TextBox 56"/>
        <xdr:cNvSpPr txBox="1"/>
      </xdr:nvSpPr>
      <xdr:spPr>
        <a:xfrm>
          <a:off x="11359963" y="1989044"/>
          <a:ext cx="3039596" cy="2941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200" b="1"/>
            <a:t>No</a:t>
          </a:r>
          <a:r>
            <a:rPr lang="en-CA" sz="1200" b="1" baseline="0"/>
            <a:t> of Patients Surgical Specialty</a:t>
          </a:r>
          <a:endParaRPr lang="en-CA" sz="1200" b="1"/>
        </a:p>
      </xdr:txBody>
    </xdr:sp>
    <xdr:clientData/>
  </xdr:twoCellAnchor>
  <xdr:twoCellAnchor>
    <xdr:from>
      <xdr:col>3</xdr:col>
      <xdr:colOff>220355</xdr:colOff>
      <xdr:row>27</xdr:row>
      <xdr:rowOff>40822</xdr:rowOff>
    </xdr:from>
    <xdr:to>
      <xdr:col>9</xdr:col>
      <xdr:colOff>27215</xdr:colOff>
      <xdr:row>39</xdr:row>
      <xdr:rowOff>81643</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108858</xdr:colOff>
      <xdr:row>27</xdr:row>
      <xdr:rowOff>122464</xdr:rowOff>
    </xdr:from>
    <xdr:to>
      <xdr:col>15</xdr:col>
      <xdr:colOff>1</xdr:colOff>
      <xdr:row>39</xdr:row>
      <xdr:rowOff>108858</xdr:rowOff>
    </xdr:to>
    <xdr:graphicFrame macro="">
      <xdr:nvGraphicFramePr>
        <xdr:cNvPr id="58" name="Chart 5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340179</xdr:colOff>
      <xdr:row>25</xdr:row>
      <xdr:rowOff>122466</xdr:rowOff>
    </xdr:from>
    <xdr:to>
      <xdr:col>14</xdr:col>
      <xdr:colOff>340179</xdr:colOff>
      <xdr:row>27</xdr:row>
      <xdr:rowOff>40822</xdr:rowOff>
    </xdr:to>
    <xdr:sp macro="" textlink="">
      <xdr:nvSpPr>
        <xdr:cNvPr id="25" name="TextBox 24"/>
        <xdr:cNvSpPr txBox="1"/>
      </xdr:nvSpPr>
      <xdr:spPr>
        <a:xfrm>
          <a:off x="6463393" y="4544787"/>
          <a:ext cx="3401786" cy="2721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200" b="1"/>
            <a:t>Re</a:t>
          </a:r>
          <a:r>
            <a:rPr lang="en-CA" sz="1200" b="1" baseline="0"/>
            <a:t> Admit Patients</a:t>
          </a:r>
          <a:endParaRPr lang="en-CA" sz="1200" b="1"/>
        </a:p>
      </xdr:txBody>
    </xdr:sp>
    <xdr:clientData/>
  </xdr:twoCellAnchor>
  <xdr:twoCellAnchor>
    <xdr:from>
      <xdr:col>3</xdr:col>
      <xdr:colOff>462643</xdr:colOff>
      <xdr:row>25</xdr:row>
      <xdr:rowOff>122466</xdr:rowOff>
    </xdr:from>
    <xdr:to>
      <xdr:col>8</xdr:col>
      <xdr:colOff>381000</xdr:colOff>
      <xdr:row>27</xdr:row>
      <xdr:rowOff>13608</xdr:rowOff>
    </xdr:to>
    <xdr:sp macro="" textlink="">
      <xdr:nvSpPr>
        <xdr:cNvPr id="26" name="TextBox 25"/>
        <xdr:cNvSpPr txBox="1"/>
      </xdr:nvSpPr>
      <xdr:spPr>
        <a:xfrm>
          <a:off x="2503714" y="4544787"/>
          <a:ext cx="3320143" cy="2449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200" b="1"/>
            <a:t>Profits</a:t>
          </a:r>
          <a:r>
            <a:rPr lang="en-CA" sz="1200" b="1" baseline="0"/>
            <a:t> By Month</a:t>
          </a:r>
          <a:endParaRPr lang="en-CA" sz="1200" b="1"/>
        </a:p>
      </xdr:txBody>
    </xdr:sp>
    <xdr:clientData/>
  </xdr:twoCellAnchor>
  <xdr:twoCellAnchor>
    <xdr:from>
      <xdr:col>15</xdr:col>
      <xdr:colOff>118061</xdr:colOff>
      <xdr:row>27</xdr:row>
      <xdr:rowOff>81642</xdr:rowOff>
    </xdr:from>
    <xdr:to>
      <xdr:col>21</xdr:col>
      <xdr:colOff>136071</xdr:colOff>
      <xdr:row>39</xdr:row>
      <xdr:rowOff>13607</xdr:rowOff>
    </xdr:to>
    <xdr:graphicFrame macro="">
      <xdr:nvGraphicFramePr>
        <xdr:cNvPr id="59" name="Chart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204107</xdr:colOff>
      <xdr:row>25</xdr:row>
      <xdr:rowOff>68036</xdr:rowOff>
    </xdr:from>
    <xdr:to>
      <xdr:col>20</xdr:col>
      <xdr:colOff>653143</xdr:colOff>
      <xdr:row>27</xdr:row>
      <xdr:rowOff>54429</xdr:rowOff>
    </xdr:to>
    <xdr:sp macro="" textlink="">
      <xdr:nvSpPr>
        <xdr:cNvPr id="27" name="TextBox 26"/>
        <xdr:cNvSpPr txBox="1"/>
      </xdr:nvSpPr>
      <xdr:spPr>
        <a:xfrm>
          <a:off x="10409464" y="4490357"/>
          <a:ext cx="3850822" cy="3401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200" b="1"/>
            <a:t>No of Patients by</a:t>
          </a:r>
          <a:r>
            <a:rPr lang="en-CA" sz="1200" b="1" baseline="0"/>
            <a:t> LOS  Bucket</a:t>
          </a:r>
          <a:endParaRPr lang="en-CA" sz="1200" b="1"/>
        </a:p>
      </xdr:txBody>
    </xdr:sp>
    <xdr:clientData/>
  </xdr:twoCellAnchor>
  <xdr:twoCellAnchor editAs="oneCell">
    <xdr:from>
      <xdr:col>0</xdr:col>
      <xdr:colOff>217714</xdr:colOff>
      <xdr:row>12</xdr:row>
      <xdr:rowOff>13609</xdr:rowOff>
    </xdr:from>
    <xdr:to>
      <xdr:col>1</xdr:col>
      <xdr:colOff>244928</xdr:colOff>
      <xdr:row>16</xdr:row>
      <xdr:rowOff>13608</xdr:rowOff>
    </xdr:to>
    <xdr:pic>
      <xdr:nvPicPr>
        <xdr:cNvPr id="28" name="Picture 27"/>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17714" y="2136323"/>
          <a:ext cx="707571" cy="707571"/>
        </a:xfrm>
        <a:prstGeom prst="rect">
          <a:avLst/>
        </a:prstGeom>
      </xdr:spPr>
    </xdr:pic>
    <xdr:clientData/>
  </xdr:twoCellAnchor>
  <xdr:twoCellAnchor editAs="oneCell">
    <xdr:from>
      <xdr:col>0</xdr:col>
      <xdr:colOff>142874</xdr:colOff>
      <xdr:row>17</xdr:row>
      <xdr:rowOff>95250</xdr:rowOff>
    </xdr:from>
    <xdr:to>
      <xdr:col>1</xdr:col>
      <xdr:colOff>319768</xdr:colOff>
      <xdr:row>21</xdr:row>
      <xdr:rowOff>81641</xdr:rowOff>
    </xdr:to>
    <xdr:pic>
      <xdr:nvPicPr>
        <xdr:cNvPr id="29" name="Picture 28"/>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2874" y="3102429"/>
          <a:ext cx="857251" cy="693962"/>
        </a:xfrm>
        <a:prstGeom prst="rect">
          <a:avLst/>
        </a:prstGeom>
      </xdr:spPr>
    </xdr:pic>
    <xdr:clientData/>
  </xdr:twoCellAnchor>
  <xdr:twoCellAnchor editAs="oneCell">
    <xdr:from>
      <xdr:col>0</xdr:col>
      <xdr:colOff>204107</xdr:colOff>
      <xdr:row>23</xdr:row>
      <xdr:rowOff>27214</xdr:rowOff>
    </xdr:from>
    <xdr:to>
      <xdr:col>1</xdr:col>
      <xdr:colOff>408213</xdr:colOff>
      <xdr:row>27</xdr:row>
      <xdr:rowOff>122464</xdr:rowOff>
    </xdr:to>
    <xdr:pic>
      <xdr:nvPicPr>
        <xdr:cNvPr id="31" name="Picture 30"/>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04107" y="4095750"/>
          <a:ext cx="884463" cy="802821"/>
        </a:xfrm>
        <a:prstGeom prst="rect">
          <a:avLst/>
        </a:prstGeom>
      </xdr:spPr>
    </xdr:pic>
    <xdr:clientData/>
  </xdr:twoCellAnchor>
  <xdr:twoCellAnchor editAs="oneCell">
    <xdr:from>
      <xdr:col>0</xdr:col>
      <xdr:colOff>231321</xdr:colOff>
      <xdr:row>29</xdr:row>
      <xdr:rowOff>108857</xdr:rowOff>
    </xdr:from>
    <xdr:to>
      <xdr:col>1</xdr:col>
      <xdr:colOff>231320</xdr:colOff>
      <xdr:row>32</xdr:row>
      <xdr:rowOff>149680</xdr:rowOff>
    </xdr:to>
    <xdr:pic>
      <xdr:nvPicPr>
        <xdr:cNvPr id="33" name="Picture 32"/>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31321" y="5238750"/>
          <a:ext cx="680356" cy="571501"/>
        </a:xfrm>
        <a:prstGeom prst="rect">
          <a:avLst/>
        </a:prstGeom>
      </xdr:spPr>
    </xdr:pic>
    <xdr:clientData/>
  </xdr:twoCellAnchor>
  <xdr:twoCellAnchor editAs="oneCell">
    <xdr:from>
      <xdr:col>0</xdr:col>
      <xdr:colOff>122464</xdr:colOff>
      <xdr:row>35</xdr:row>
      <xdr:rowOff>54428</xdr:rowOff>
    </xdr:from>
    <xdr:to>
      <xdr:col>1</xdr:col>
      <xdr:colOff>340178</xdr:colOff>
      <xdr:row>38</xdr:row>
      <xdr:rowOff>108857</xdr:rowOff>
    </xdr:to>
    <xdr:pic>
      <xdr:nvPicPr>
        <xdr:cNvPr id="34" name="Picture 33"/>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22464" y="6245678"/>
          <a:ext cx="898071" cy="585108"/>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0.03659</cdr:x>
      <cdr:y>0.0266</cdr:y>
    </cdr:from>
    <cdr:to>
      <cdr:x>0.97561</cdr:x>
      <cdr:y>0.1383</cdr:y>
    </cdr:to>
    <cdr:sp macro="" textlink="">
      <cdr:nvSpPr>
        <cdr:cNvPr id="2" name="TextBox 1"/>
        <cdr:cNvSpPr txBox="1"/>
      </cdr:nvSpPr>
      <cdr:spPr>
        <a:xfrm xmlns:a="http://schemas.openxmlformats.org/drawingml/2006/main">
          <a:off x="126066" y="70036"/>
          <a:ext cx="3235699" cy="29415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CA" sz="1100"/>
        </a:p>
      </cdr:txBody>
    </cdr:sp>
  </cdr:relSizeAnchor>
  <cdr:relSizeAnchor xmlns:cdr="http://schemas.openxmlformats.org/drawingml/2006/chartDrawing">
    <cdr:from>
      <cdr:x>0.02439</cdr:x>
      <cdr:y>0.0266</cdr:y>
    </cdr:from>
    <cdr:to>
      <cdr:x>0.97967</cdr:x>
      <cdr:y>0.14894</cdr:y>
    </cdr:to>
    <cdr:sp macro="" textlink="">
      <cdr:nvSpPr>
        <cdr:cNvPr id="3" name="TextBox 2"/>
        <cdr:cNvSpPr txBox="1"/>
      </cdr:nvSpPr>
      <cdr:spPr>
        <a:xfrm xmlns:a="http://schemas.openxmlformats.org/drawingml/2006/main">
          <a:off x="84044" y="70036"/>
          <a:ext cx="3291727" cy="32216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CA"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320.874990509263" createdVersion="4" refreshedVersion="4" minRefreshableVersion="3" recordCount="136">
  <cacheSource type="worksheet">
    <worksheetSource name="Table1"/>
  </cacheSource>
  <cacheFields count="25">
    <cacheField name="Admission Date" numFmtId="15">
      <sharedItems containsSemiMixedTypes="0" containsNonDate="0" containsDate="1" containsString="0" minDate="2025-01-01T00:00:00" maxDate="2026-12-04T00:00:00"/>
    </cacheField>
    <cacheField name="Discharge Date" numFmtId="15">
      <sharedItems containsSemiMixedTypes="0" containsNonDate="0" containsDate="1" containsString="0" minDate="2025-01-01T00:00:00" maxDate="2026-12-05T00:00:00"/>
    </cacheField>
    <cacheField name="Hospital Name" numFmtId="0">
      <sharedItems/>
    </cacheField>
    <cacheField name="Hospital Country" numFmtId="0">
      <sharedItems/>
    </cacheField>
    <cacheField name="Hospital State" numFmtId="0">
      <sharedItems/>
    </cacheField>
    <cacheField name="Patient ID" numFmtId="0">
      <sharedItems containsSemiMixedTypes="0" containsString="0" containsNumber="1" containsInteger="1" minValue="1001" maxValue="1050"/>
    </cacheField>
    <cacheField name="Patient Name" numFmtId="0">
      <sharedItems/>
    </cacheField>
    <cacheField name="Gender" numFmtId="0">
      <sharedItems count="2">
        <s v="Male"/>
        <s v="Female"/>
      </sharedItems>
    </cacheField>
    <cacheField name="Age" numFmtId="0">
      <sharedItems containsSemiMixedTypes="0" containsString="0" containsNumber="1" containsInteger="1" minValue="6" maxValue="72"/>
    </cacheField>
    <cacheField name="Age Group" numFmtId="0">
      <sharedItems count="7">
        <s v="31-45"/>
        <s v="46-60"/>
        <s v="61-75"/>
        <s v="21-25"/>
        <s v="16-20"/>
        <s v="11-15"/>
        <s v="26-30"/>
      </sharedItems>
    </cacheField>
    <cacheField name="City" numFmtId="0">
      <sharedItems count="54">
        <s v="New York City"/>
        <s v="Hilo"/>
        <s v="St. Louis"/>
        <s v="Honolulu"/>
        <s v="Louisville"/>
        <s v="Richmond"/>
        <s v="Newark"/>
        <s v="Pittsburgh"/>
        <s v="Milwaukee"/>
        <s v="Albuquerque"/>
        <s v="Chicago"/>
        <s v="Salem"/>
        <s v="Portland"/>
        <s v="Atlanta"/>
        <s v="Denver"/>
        <s v="Tacoma"/>
        <s v="Lincoln"/>
        <s v="Philadelphia"/>
        <s v="Reading"/>
        <s v="Detroit"/>
        <s v="Carson City"/>
        <s v="Sioux Falls"/>
        <s v="Springfield"/>
        <s v="San Francisco"/>
        <s v="Boise"/>
        <s v="Columbia"/>
        <s v="Concord"/>
        <s v="Eugene"/>
        <s v="Billings"/>
        <s v="Montgomery"/>
        <s v="Minneapolis"/>
        <s v="Cheyenne"/>
        <s v="Wilmington"/>
        <s v="Miami"/>
        <s v="Salt Lake City"/>
        <s v="Seattle"/>
        <s v="Camden"/>
        <s v="Charleston"/>
        <s v="Cedar Rapids"/>
        <s v="Grand Junction"/>
        <s v="Dallas"/>
        <s v="Cleveland"/>
        <s v="Omaha"/>
        <s v="Hartford"/>
        <s v="Las Vegas"/>
        <s v="Phoenix"/>
        <s v="Anchorage"/>
        <s v="Los Angeles"/>
        <s v="Fargo"/>
        <s v="Charlotte"/>
        <s v="Columbus"/>
        <s v="Grand Rapids"/>
        <s v="Boston"/>
        <s v="Rockford"/>
      </sharedItems>
    </cacheField>
    <cacheField name="Division" numFmtId="0">
      <sharedItems count="7">
        <s v="Telemetry"/>
        <s v="Oncology"/>
        <s v="Cardiology"/>
        <s v="Orthopedic"/>
        <s v="Obstetrics"/>
        <s v="Emergency"/>
        <s v="Pediatrics"/>
      </sharedItems>
    </cacheField>
    <cacheField name="Department" numFmtId="0">
      <sharedItems count="2">
        <s v="Inpatient"/>
        <s v="Outpatient"/>
      </sharedItems>
    </cacheField>
    <cacheField name="Surgical Specialty" numFmtId="0">
      <sharedItems count="7">
        <s v="Cardiac"/>
        <s v="General"/>
        <s v="Vascular"/>
        <s v="Orthopedic"/>
        <s v="Gynecology"/>
        <s v="Trauma"/>
        <s v="Endocrinology"/>
      </sharedItems>
    </cacheField>
    <cacheField name="Physicians" numFmtId="0">
      <sharedItems count="12">
        <s v="Dr. Smith"/>
        <s v="Dr. Johnson"/>
        <s v="Dr. Lee"/>
        <s v="Dr. Patel"/>
        <s v="Dr. Walker"/>
        <s v="Dr. Green"/>
        <s v="Dr. White"/>
        <s v="Dr. Black"/>
        <s v="Dr. Brown"/>
        <s v="Dr. Taylor"/>
        <s v="Dr. King"/>
        <s v="Dr. Wood"/>
      </sharedItems>
    </cacheField>
    <cacheField name="LOS Bucket (Length of Stay)" numFmtId="0">
      <sharedItems containsMixedTypes="1" containsNumber="1" containsInteger="1" minValue="2" maxValue="5"/>
    </cacheField>
    <cacheField name="Patients in ICU" numFmtId="0">
      <sharedItems containsSemiMixedTypes="0" containsString="0" containsNumber="1" containsInteger="1" minValue="1" maxValue="17"/>
    </cacheField>
    <cacheField name="Total Died" numFmtId="0">
      <sharedItems containsSemiMixedTypes="0" containsString="0" containsNumber="1" containsInteger="1" minValue="0" maxValue="12"/>
    </cacheField>
    <cacheField name="Re-admit Patients" numFmtId="0">
      <sharedItems containsSemiMixedTypes="0" containsString="0" containsNumber="1" containsInteger="1" minValue="0" maxValue="16"/>
    </cacheField>
    <cacheField name="Discharge Type" numFmtId="0">
      <sharedItems/>
    </cacheField>
    <cacheField name="Avg Waiting Time by Division (hrs)" numFmtId="0">
      <sharedItems containsSemiMixedTypes="0" containsString="0" containsNumber="1" minValue="1" maxValue="6000"/>
    </cacheField>
    <cacheField name="Avg Days of Discharge" numFmtId="0">
      <sharedItems containsSemiMixedTypes="0" containsString="0" containsNumber="1" containsInteger="1" minValue="0" maxValue="8"/>
    </cacheField>
    <cacheField name="Total Patients" numFmtId="0">
      <sharedItems containsSemiMixedTypes="0" containsString="0" containsNumber="1" containsInteger="1" minValue="1" maxValue="34"/>
    </cacheField>
    <cacheField name="Year" numFmtId="0">
      <sharedItems containsSemiMixedTypes="0" containsString="0" containsNumber="1" containsInteger="1" minValue="2025" maxValue="2026" count="2">
        <n v="2025"/>
        <n v="2026"/>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36">
  <r>
    <d v="2025-01-03T00:00:00"/>
    <d v="2025-05-03T00:00:00"/>
    <s v="City Hospital"/>
    <s v="USA"/>
    <s v="Pennsylvania"/>
    <n v="1001"/>
    <s v="John Doe"/>
    <x v="0"/>
    <n v="45"/>
    <x v="0"/>
    <x v="0"/>
    <x v="0"/>
    <x v="0"/>
    <x v="0"/>
    <x v="0"/>
    <s v="1 to 5"/>
    <n v="13"/>
    <n v="7"/>
    <n v="7"/>
    <s v="Clinical Advice"/>
    <n v="2.5"/>
    <n v="7"/>
    <n v="27"/>
    <x v="0"/>
    <x v="0"/>
  </r>
  <r>
    <d v="2025-02-03T00:00:00"/>
    <d v="2025-07-03T00:00:00"/>
    <s v="General Hospital"/>
    <s v="USA"/>
    <s v="Pennsylvania"/>
    <n v="1002"/>
    <s v="Jane Smith"/>
    <x v="1"/>
    <n v="32"/>
    <x v="0"/>
    <x v="1"/>
    <x v="1"/>
    <x v="1"/>
    <x v="1"/>
    <x v="1"/>
    <s v="6 to 10"/>
    <n v="17"/>
    <n v="12"/>
    <n v="5"/>
    <s v="Discharged Themselves"/>
    <n v="3"/>
    <n v="5"/>
    <n v="34"/>
    <x v="0"/>
    <x v="1"/>
  </r>
  <r>
    <d v="2025-03-03T00:00:00"/>
    <d v="2025-06-03T00:00:00"/>
    <s v="Metro Health"/>
    <s v="USA"/>
    <s v="New Jersey"/>
    <n v="1003"/>
    <s v="Alice Johnson"/>
    <x v="1"/>
    <n v="60"/>
    <x v="1"/>
    <x v="2"/>
    <x v="2"/>
    <x v="0"/>
    <x v="2"/>
    <x v="2"/>
    <s v="1 to 5"/>
    <n v="10"/>
    <n v="3"/>
    <n v="0"/>
    <s v="Clinical Advice"/>
    <n v="1.8"/>
    <n v="6"/>
    <n v="13"/>
    <x v="0"/>
    <x v="2"/>
  </r>
  <r>
    <d v="2025-04-03T00:00:00"/>
    <d v="2025-10-03T00:00:00"/>
    <s v="Suburban Clinic"/>
    <s v="USA"/>
    <s v="Delaware"/>
    <n v="1004"/>
    <s v="Michael Brown"/>
    <x v="0"/>
    <n v="70"/>
    <x v="2"/>
    <x v="3"/>
    <x v="3"/>
    <x v="0"/>
    <x v="3"/>
    <x v="3"/>
    <s v="6 to 10"/>
    <n v="8"/>
    <n v="2"/>
    <n v="2"/>
    <s v="Died"/>
    <n v="2.1"/>
    <n v="8"/>
    <n v="12"/>
    <x v="0"/>
    <x v="3"/>
  </r>
  <r>
    <d v="2025-05-03T00:00:00"/>
    <d v="2025-11-03T00:00:00"/>
    <s v="Urban Care"/>
    <s v="USA"/>
    <s v="Pennsylvania"/>
    <n v="1005"/>
    <s v="Emily Davis"/>
    <x v="0"/>
    <n v="38"/>
    <x v="0"/>
    <x v="4"/>
    <x v="4"/>
    <x v="1"/>
    <x v="4"/>
    <x v="4"/>
    <s v="1 to 5"/>
    <n v="9"/>
    <n v="1"/>
    <n v="6"/>
    <s v="Clinical Advice"/>
    <n v="2.9"/>
    <n v="4"/>
    <n v="16"/>
    <x v="0"/>
    <x v="4"/>
  </r>
  <r>
    <d v="2025-01-03T00:00:00"/>
    <d v="2025-05-03T00:00:00"/>
    <s v="City Hospital"/>
    <s v="USA"/>
    <s v="Pennsylvania"/>
    <n v="1001"/>
    <s v="John Doe"/>
    <x v="0"/>
    <n v="45"/>
    <x v="0"/>
    <x v="5"/>
    <x v="0"/>
    <x v="0"/>
    <x v="0"/>
    <x v="0"/>
    <s v="1 to 5"/>
    <n v="13"/>
    <n v="7"/>
    <n v="2"/>
    <s v="Clinical Advice"/>
    <n v="2.5"/>
    <n v="7"/>
    <n v="22"/>
    <x v="0"/>
    <x v="0"/>
  </r>
  <r>
    <d v="2025-02-03T00:00:00"/>
    <d v="2025-07-03T00:00:00"/>
    <s v="General Hospital"/>
    <s v="USA"/>
    <s v="Pennsylvania"/>
    <n v="1002"/>
    <s v="Jane Smith"/>
    <x v="1"/>
    <n v="32"/>
    <x v="0"/>
    <x v="1"/>
    <x v="1"/>
    <x v="1"/>
    <x v="1"/>
    <x v="1"/>
    <s v="6 to 10"/>
    <n v="17"/>
    <n v="12"/>
    <n v="0"/>
    <s v="Discharged Themselves"/>
    <n v="3"/>
    <n v="5"/>
    <n v="29"/>
    <x v="0"/>
    <x v="1"/>
  </r>
  <r>
    <d v="2025-03-03T00:00:00"/>
    <d v="2025-06-03T00:00:00"/>
    <s v="Metro Health"/>
    <s v="USA"/>
    <s v="New Jersey"/>
    <n v="1003"/>
    <s v="Alice Johnson"/>
    <x v="1"/>
    <n v="60"/>
    <x v="1"/>
    <x v="6"/>
    <x v="2"/>
    <x v="0"/>
    <x v="2"/>
    <x v="2"/>
    <s v="1 to 5"/>
    <n v="10"/>
    <n v="3"/>
    <n v="3"/>
    <s v="Clinical Advice"/>
    <n v="1.8"/>
    <n v="6"/>
    <n v="16"/>
    <x v="0"/>
    <x v="2"/>
  </r>
  <r>
    <d v="2025-04-03T00:00:00"/>
    <d v="2025-10-03T00:00:00"/>
    <s v="Suburban Clinic"/>
    <s v="USA"/>
    <s v="Delaware"/>
    <n v="1004"/>
    <s v="Michael Brown"/>
    <x v="0"/>
    <n v="70"/>
    <x v="2"/>
    <x v="7"/>
    <x v="3"/>
    <x v="0"/>
    <x v="3"/>
    <x v="3"/>
    <s v="6 to 10"/>
    <n v="8"/>
    <n v="2"/>
    <n v="6"/>
    <s v="Died"/>
    <n v="2.1"/>
    <n v="8"/>
    <n v="16"/>
    <x v="0"/>
    <x v="3"/>
  </r>
  <r>
    <d v="2025-05-03T00:00:00"/>
    <d v="2025-11-03T00:00:00"/>
    <s v="Urban Care"/>
    <s v="USA"/>
    <s v="Pennsylvania"/>
    <n v="1005"/>
    <s v="Emily Davis"/>
    <x v="1"/>
    <n v="38"/>
    <x v="0"/>
    <x v="8"/>
    <x v="4"/>
    <x v="1"/>
    <x v="4"/>
    <x v="4"/>
    <s v="1 to 5"/>
    <n v="9"/>
    <n v="1"/>
    <n v="1"/>
    <s v="Clinical Advice"/>
    <n v="2.9"/>
    <n v="4"/>
    <n v="11"/>
    <x v="0"/>
    <x v="4"/>
  </r>
  <r>
    <d v="2025-06-03T00:00:00"/>
    <d v="2025-12-03T00:00:00"/>
    <s v="Riverbend Hospital"/>
    <s v="USA"/>
    <s v="Texas"/>
    <n v="1006"/>
    <s v="David Miller"/>
    <x v="0"/>
    <n v="25"/>
    <x v="3"/>
    <x v="9"/>
    <x v="5"/>
    <x v="0"/>
    <x v="5"/>
    <x v="5"/>
    <s v="1 to 5"/>
    <n v="5"/>
    <n v="0"/>
    <n v="0"/>
    <s v="Clinical Advice"/>
    <n v="1.5"/>
    <n v="3"/>
    <n v="5"/>
    <x v="0"/>
    <x v="5"/>
  </r>
  <r>
    <d v="2025-07-03T00:00:00"/>
    <d v="2026-03-03T00:00:00"/>
    <s v="Northside Hospital"/>
    <s v="USA"/>
    <s v="Georgia"/>
    <n v="1007"/>
    <s v="Sarah Wilson"/>
    <x v="0"/>
    <n v="18"/>
    <x v="4"/>
    <x v="10"/>
    <x v="6"/>
    <x v="1"/>
    <x v="1"/>
    <x v="6"/>
    <s v="1 to 5"/>
    <n v="2"/>
    <n v="0"/>
    <n v="1"/>
    <s v="Discharged Themselves"/>
    <n v="1"/>
    <n v="1"/>
    <n v="3"/>
    <x v="0"/>
    <x v="6"/>
  </r>
  <r>
    <d v="2025-08-03T00:00:00"/>
    <d v="2026-08-03T00:00:00"/>
    <s v="Eastside Clinic"/>
    <s v="USA"/>
    <s v="Florida"/>
    <n v="1008"/>
    <s v="Thomas Brown"/>
    <x v="0"/>
    <n v="12"/>
    <x v="5"/>
    <x v="11"/>
    <x v="6"/>
    <x v="0"/>
    <x v="6"/>
    <x v="7"/>
    <s v="6 to 10"/>
    <n v="1"/>
    <n v="0"/>
    <n v="2"/>
    <s v="Clinical Advice"/>
    <n v="2.2000000000000002"/>
    <n v="2"/>
    <n v="3"/>
    <x v="0"/>
    <x v="7"/>
  </r>
  <r>
    <d v="2025-09-03T00:00:00"/>
    <d v="2026-06-03T00:00:00"/>
    <s v="Green Valley Hospital"/>
    <s v="USA"/>
    <s v="California"/>
    <n v="1009"/>
    <s v="Rachel Adams"/>
    <x v="1"/>
    <n v="29"/>
    <x v="6"/>
    <x v="12"/>
    <x v="0"/>
    <x v="1"/>
    <x v="0"/>
    <x v="8"/>
    <s v="1 to 5"/>
    <n v="4"/>
    <n v="0"/>
    <n v="1"/>
    <s v="Discharged Themselves"/>
    <n v="1.8"/>
    <n v="3"/>
    <n v="5"/>
    <x v="0"/>
    <x v="8"/>
  </r>
  <r>
    <d v="2025-10-03T00:00:00"/>
    <d v="2026-10-03T00:00:00"/>
    <s v="Lakeside Hospital"/>
    <s v="USA"/>
    <s v="Illinois"/>
    <n v="1010"/>
    <s v="Kevin Johnson"/>
    <x v="0"/>
    <n v="15"/>
    <x v="5"/>
    <x v="13"/>
    <x v="1"/>
    <x v="0"/>
    <x v="1"/>
    <x v="9"/>
    <s v="1 to 5"/>
    <n v="3"/>
    <n v="0"/>
    <n v="0"/>
    <s v="Clinical Advice"/>
    <n v="2.5"/>
    <n v="3"/>
    <n v="3"/>
    <x v="0"/>
    <x v="9"/>
  </r>
  <r>
    <d v="2025-01-03T00:00:00"/>
    <d v="2025-05-03T00:00:00"/>
    <s v="City Hospital"/>
    <s v="USA"/>
    <s v="Pennsylvania"/>
    <n v="1001"/>
    <s v="John Doe"/>
    <x v="0"/>
    <n v="45"/>
    <x v="0"/>
    <x v="14"/>
    <x v="0"/>
    <x v="0"/>
    <x v="0"/>
    <x v="0"/>
    <s v="1 to 5"/>
    <n v="13"/>
    <n v="7"/>
    <n v="3"/>
    <s v="Clinical Advice"/>
    <n v="2.5"/>
    <n v="7"/>
    <n v="23"/>
    <x v="0"/>
    <x v="0"/>
  </r>
  <r>
    <d v="2025-02-03T00:00:00"/>
    <d v="2025-07-03T00:00:00"/>
    <s v="General Hospital"/>
    <s v="USA"/>
    <s v="Pennsylvania"/>
    <n v="1002"/>
    <s v="Jane Smith"/>
    <x v="1"/>
    <n v="32"/>
    <x v="0"/>
    <x v="15"/>
    <x v="1"/>
    <x v="1"/>
    <x v="1"/>
    <x v="1"/>
    <s v="6 to 10"/>
    <n v="17"/>
    <n v="12"/>
    <n v="1"/>
    <s v="Discharged Themselves"/>
    <n v="3"/>
    <n v="5"/>
    <n v="30"/>
    <x v="0"/>
    <x v="1"/>
  </r>
  <r>
    <d v="2025-03-03T00:00:00"/>
    <d v="2025-06-03T00:00:00"/>
    <s v="Metro Health"/>
    <s v="USA"/>
    <s v="New Jersey"/>
    <n v="1003"/>
    <s v="Alice Johnson"/>
    <x v="0"/>
    <n v="60"/>
    <x v="1"/>
    <x v="16"/>
    <x v="2"/>
    <x v="0"/>
    <x v="2"/>
    <x v="2"/>
    <s v="1 to 5"/>
    <n v="10"/>
    <n v="3"/>
    <n v="4"/>
    <s v="Clinical Advice"/>
    <n v="1.8"/>
    <n v="6"/>
    <n v="17"/>
    <x v="0"/>
    <x v="2"/>
  </r>
  <r>
    <d v="2025-04-03T00:00:00"/>
    <d v="2025-10-03T00:00:00"/>
    <s v="Suburban Clinic"/>
    <s v="USA"/>
    <s v="Delaware"/>
    <n v="1004"/>
    <s v="Michael Brown"/>
    <x v="0"/>
    <n v="70"/>
    <x v="2"/>
    <x v="17"/>
    <x v="3"/>
    <x v="0"/>
    <x v="3"/>
    <x v="3"/>
    <s v="6 to 10"/>
    <n v="8"/>
    <n v="2"/>
    <n v="11"/>
    <s v="Died"/>
    <n v="2.1"/>
    <n v="8"/>
    <n v="21"/>
    <x v="0"/>
    <x v="3"/>
  </r>
  <r>
    <d v="2025-05-03T00:00:00"/>
    <d v="2025-11-03T00:00:00"/>
    <s v="Urban Care"/>
    <s v="USA"/>
    <s v="Pennsylvania"/>
    <n v="1005"/>
    <s v="Emily Davis"/>
    <x v="1"/>
    <n v="38"/>
    <x v="0"/>
    <x v="17"/>
    <x v="4"/>
    <x v="1"/>
    <x v="4"/>
    <x v="4"/>
    <s v="1 to 5"/>
    <n v="9"/>
    <n v="1"/>
    <n v="13"/>
    <s v="Clinical Advice"/>
    <n v="2.9"/>
    <n v="4"/>
    <n v="23"/>
    <x v="0"/>
    <x v="4"/>
  </r>
  <r>
    <d v="2025-06-03T00:00:00"/>
    <d v="2025-12-03T00:00:00"/>
    <s v="Riverbend Hospital"/>
    <s v="USA"/>
    <s v="Texas"/>
    <n v="1006"/>
    <s v="David Miller"/>
    <x v="0"/>
    <n v="25"/>
    <x v="3"/>
    <x v="17"/>
    <x v="5"/>
    <x v="0"/>
    <x v="5"/>
    <x v="5"/>
    <s v="1 to 5"/>
    <n v="5"/>
    <n v="0"/>
    <n v="11"/>
    <s v="Clinical Advice"/>
    <n v="1.5"/>
    <n v="3"/>
    <n v="16"/>
    <x v="0"/>
    <x v="5"/>
  </r>
  <r>
    <d v="2025-07-03T00:00:00"/>
    <d v="2026-03-03T00:00:00"/>
    <s v="Northside Hospital"/>
    <s v="USA"/>
    <s v="Georgia"/>
    <n v="1007"/>
    <s v="Sarah Wilson"/>
    <x v="1"/>
    <n v="18"/>
    <x v="4"/>
    <x v="17"/>
    <x v="6"/>
    <x v="1"/>
    <x v="1"/>
    <x v="6"/>
    <s v="1 to 5"/>
    <n v="2"/>
    <n v="0"/>
    <n v="14"/>
    <s v="Discharged Themselves"/>
    <n v="1"/>
    <n v="1"/>
    <n v="16"/>
    <x v="0"/>
    <x v="6"/>
  </r>
  <r>
    <d v="2025-08-03T00:00:00"/>
    <d v="2026-08-03T00:00:00"/>
    <s v="Eastside Clinic"/>
    <s v="USA"/>
    <s v="Florida"/>
    <n v="1008"/>
    <s v="Thomas Brown"/>
    <x v="0"/>
    <n v="12"/>
    <x v="5"/>
    <x v="17"/>
    <x v="6"/>
    <x v="0"/>
    <x v="6"/>
    <x v="7"/>
    <s v="6 to 10"/>
    <n v="1"/>
    <n v="0"/>
    <n v="15"/>
    <s v="Clinical Advice"/>
    <n v="2.2000000000000002"/>
    <n v="2"/>
    <n v="16"/>
    <x v="0"/>
    <x v="7"/>
  </r>
  <r>
    <d v="2025-09-03T00:00:00"/>
    <d v="2026-06-03T00:00:00"/>
    <s v="Green Valley Hospital"/>
    <s v="USA"/>
    <s v="California"/>
    <n v="1009"/>
    <s v="Rachel Adams"/>
    <x v="0"/>
    <n v="29"/>
    <x v="6"/>
    <x v="15"/>
    <x v="0"/>
    <x v="1"/>
    <x v="0"/>
    <x v="8"/>
    <s v="1 to 5"/>
    <n v="4"/>
    <n v="0"/>
    <n v="6"/>
    <s v="Discharged Themselves"/>
    <n v="1.8"/>
    <n v="3"/>
    <n v="10"/>
    <x v="0"/>
    <x v="8"/>
  </r>
  <r>
    <d v="2025-10-03T00:00:00"/>
    <d v="2026-10-03T00:00:00"/>
    <s v="Lakeside Hospital"/>
    <s v="USA"/>
    <s v="Illinois"/>
    <n v="1010"/>
    <s v="Kevin Johnson"/>
    <x v="0"/>
    <n v="15"/>
    <x v="5"/>
    <x v="18"/>
    <x v="1"/>
    <x v="0"/>
    <x v="1"/>
    <x v="9"/>
    <s v="1 to 5"/>
    <n v="3"/>
    <n v="0"/>
    <n v="1"/>
    <s v="Clinical Advice"/>
    <n v="2.5"/>
    <n v="3"/>
    <n v="4"/>
    <x v="0"/>
    <x v="9"/>
  </r>
  <r>
    <d v="2025-11-03T00:00:00"/>
    <d v="2026-11-03T00:00:00"/>
    <s v="Maplewood Hospital"/>
    <s v="USA"/>
    <s v="Ohio"/>
    <n v="1011"/>
    <s v="Samantha Green"/>
    <x v="0"/>
    <n v="22"/>
    <x v="3"/>
    <x v="19"/>
    <x v="5"/>
    <x v="0"/>
    <x v="5"/>
    <x v="10"/>
    <s v="1 to 5"/>
    <n v="4"/>
    <n v="0"/>
    <n v="2"/>
    <s v="Discharged Themselves"/>
    <n v="2.2999999999999998"/>
    <n v="3"/>
    <n v="6"/>
    <x v="0"/>
    <x v="10"/>
  </r>
  <r>
    <d v="2025-12-03T00:00:00"/>
    <d v="2026-12-03T00:00:00"/>
    <s v="Hillcrest Hospital"/>
    <s v="USA"/>
    <s v="Nevada"/>
    <n v="1012"/>
    <s v="Timothy Hall"/>
    <x v="0"/>
    <n v="27"/>
    <x v="6"/>
    <x v="20"/>
    <x v="0"/>
    <x v="1"/>
    <x v="0"/>
    <x v="11"/>
    <s v="1 to 5"/>
    <n v="3"/>
    <n v="0"/>
    <n v="5"/>
    <s v="Clinical Advice"/>
    <n v="2.1"/>
    <n v="2"/>
    <n v="8"/>
    <x v="0"/>
    <x v="11"/>
  </r>
  <r>
    <d v="2026-01-03T00:00:00"/>
    <d v="2025-01-03T00:00:00"/>
    <s v="Crestview Clinic"/>
    <s v="USA"/>
    <s v="North Dakota"/>
    <n v="1013"/>
    <s v="Jessica Taylor"/>
    <x v="0"/>
    <n v="19"/>
    <x v="4"/>
    <x v="21"/>
    <x v="6"/>
    <x v="0"/>
    <x v="1"/>
    <x v="8"/>
    <s v="1 to 5"/>
    <n v="1"/>
    <n v="0"/>
    <n v="6"/>
    <s v="Clinical Advice"/>
    <n v="1.5"/>
    <n v="1"/>
    <n v="7"/>
    <x v="1"/>
    <x v="0"/>
  </r>
  <r>
    <d v="2026-02-03T00:00:00"/>
    <d v="2025-03-03T00:00:00"/>
    <s v="Clearview Hospital"/>
    <s v="USA"/>
    <s v="Nebraska"/>
    <n v="1014"/>
    <s v="Jacob Wilson"/>
    <x v="0"/>
    <n v="24"/>
    <x v="3"/>
    <x v="22"/>
    <x v="1"/>
    <x v="1"/>
    <x v="4"/>
    <x v="0"/>
    <s v="6 to 10"/>
    <n v="2"/>
    <n v="0"/>
    <n v="1"/>
    <s v="Discharged Themselves"/>
    <n v="2"/>
    <n v="2"/>
    <n v="3"/>
    <x v="1"/>
    <x v="1"/>
  </r>
  <r>
    <d v="2026-03-03T00:00:00"/>
    <d v="2025-04-03T00:00:00"/>
    <s v="Silver Lake Hospital"/>
    <s v="USA"/>
    <s v="Wisconsin"/>
    <n v="1015"/>
    <s v="Anna Harris"/>
    <x v="0"/>
    <n v="14"/>
    <x v="5"/>
    <x v="23"/>
    <x v="6"/>
    <x v="0"/>
    <x v="6"/>
    <x v="1"/>
    <s v="1 to 5"/>
    <n v="3"/>
    <n v="0"/>
    <n v="6"/>
    <s v="Clinical Advice"/>
    <n v="2.4"/>
    <n v="2"/>
    <n v="9"/>
    <x v="1"/>
    <x v="2"/>
  </r>
  <r>
    <d v="2026-04-03T00:00:00"/>
    <d v="2025-05-03T00:00:00"/>
    <s v="Redwood Hospital"/>
    <s v="USA"/>
    <s v="Oregon"/>
    <n v="1016"/>
    <s v="Kyle Adams"/>
    <x v="0"/>
    <n v="30"/>
    <x v="6"/>
    <x v="24"/>
    <x v="0"/>
    <x v="1"/>
    <x v="0"/>
    <x v="2"/>
    <s v="1 to 5"/>
    <n v="4"/>
    <n v="0"/>
    <n v="3"/>
    <s v="Discharged Themselves"/>
    <n v="1.7"/>
    <n v="3"/>
    <n v="7"/>
    <x v="1"/>
    <x v="3"/>
  </r>
  <r>
    <d v="2026-05-03T00:00:00"/>
    <d v="2025-06-03T00:00:00"/>
    <s v="Birchwood Hospital"/>
    <s v="USA"/>
    <s v="Montana"/>
    <n v="1017"/>
    <s v="Megan Clark"/>
    <x v="0"/>
    <n v="35"/>
    <x v="0"/>
    <x v="17"/>
    <x v="1"/>
    <x v="0"/>
    <x v="1"/>
    <x v="7"/>
    <s v="6 to 10"/>
    <n v="5"/>
    <n v="0"/>
    <n v="16"/>
    <s v="Clinical Advice"/>
    <n v="2.6"/>
    <n v="4"/>
    <n v="21"/>
    <x v="1"/>
    <x v="4"/>
  </r>
  <r>
    <d v="2026-06-03T00:00:00"/>
    <d v="2025-07-03T00:00:00"/>
    <s v="Maple Valley Hospital"/>
    <s v="USA"/>
    <s v="Michigan"/>
    <n v="1018"/>
    <s v="Steven Martinez"/>
    <x v="0"/>
    <n v="48"/>
    <x v="1"/>
    <x v="17"/>
    <x v="2"/>
    <x v="1"/>
    <x v="2"/>
    <x v="5"/>
    <s v="1 to 5"/>
    <n v="3"/>
    <n v="1"/>
    <n v="11"/>
    <s v="Discharged Themselves"/>
    <n v="2.2999999999999998"/>
    <n v="2"/>
    <n v="15"/>
    <x v="1"/>
    <x v="5"/>
  </r>
  <r>
    <d v="2026-07-03T00:00:00"/>
    <d v="2025-01-04T00:00:00"/>
    <s v="Valley View Hospital"/>
    <s v="USA"/>
    <s v="Idaho"/>
    <n v="1019"/>
    <s v="Laura Brown"/>
    <x v="0"/>
    <n v="53"/>
    <x v="1"/>
    <x v="17"/>
    <x v="3"/>
    <x v="0"/>
    <x v="3"/>
    <x v="6"/>
    <s v="1 to 5"/>
    <n v="2"/>
    <n v="0"/>
    <n v="16"/>
    <s v="Clinical Advice"/>
    <n v="1.9"/>
    <n v="2"/>
    <n v="18"/>
    <x v="1"/>
    <x v="6"/>
  </r>
  <r>
    <d v="2026-08-03T00:00:00"/>
    <d v="2025-02-04T00:00:00"/>
    <s v="Crestfield Hospital"/>
    <s v="USA"/>
    <s v="New Mexico"/>
    <n v="1020"/>
    <s v="Eric Wilson"/>
    <x v="0"/>
    <n v="66"/>
    <x v="2"/>
    <x v="25"/>
    <x v="5"/>
    <x v="1"/>
    <x v="5"/>
    <x v="0"/>
    <s v="1 to 5"/>
    <n v="3"/>
    <n v="1"/>
    <n v="0"/>
    <s v="Clinical Advice"/>
    <n v="2.8"/>
    <n v="3"/>
    <n v="4"/>
    <x v="1"/>
    <x v="7"/>
  </r>
  <r>
    <d v="2026-09-03T00:00:00"/>
    <d v="2025-03-04T00:00:00"/>
    <s v="Silver Springs Hospital"/>
    <s v="USA"/>
    <s v="Wyoming"/>
    <n v="1021"/>
    <s v="Linda Johnson"/>
    <x v="0"/>
    <n v="37"/>
    <x v="0"/>
    <x v="26"/>
    <x v="0"/>
    <x v="0"/>
    <x v="0"/>
    <x v="8"/>
    <s v="1 to 5"/>
    <n v="4"/>
    <n v="0"/>
    <n v="5"/>
    <s v="Clinical Advice"/>
    <n v="2.6"/>
    <n v="2"/>
    <n v="9"/>
    <x v="1"/>
    <x v="8"/>
  </r>
  <r>
    <d v="2026-10-03T00:00:00"/>
    <d v="2025-04-04T00:00:00"/>
    <s v="Westfield Hospital"/>
    <s v="USA"/>
    <s v="West Virginia"/>
    <n v="1022"/>
    <s v="James Martinez"/>
    <x v="0"/>
    <n v="29"/>
    <x v="6"/>
    <x v="27"/>
    <x v="1"/>
    <x v="1"/>
    <x v="4"/>
    <x v="2"/>
    <s v="6 to 10"/>
    <n v="2"/>
    <n v="0"/>
    <n v="0"/>
    <s v="Discharged Themselves"/>
    <n v="1.7"/>
    <n v="3"/>
    <n v="2"/>
    <x v="1"/>
    <x v="9"/>
  </r>
  <r>
    <d v="2026-11-03T00:00:00"/>
    <d v="2025-05-04T00:00:00"/>
    <s v="Evergreen Hospital"/>
    <s v="USA"/>
    <s v="Virginia"/>
    <n v="1023"/>
    <s v="Michelle Wilson"/>
    <x v="0"/>
    <n v="16"/>
    <x v="4"/>
    <x v="17"/>
    <x v="6"/>
    <x v="0"/>
    <x v="6"/>
    <x v="5"/>
    <s v="1 to 5"/>
    <n v="1"/>
    <n v="0"/>
    <n v="10"/>
    <s v="Clinical Advice"/>
    <n v="2.1"/>
    <n v="1"/>
    <n v="11"/>
    <x v="1"/>
    <x v="10"/>
  </r>
  <r>
    <d v="2026-12-03T00:00:00"/>
    <d v="2025-06-04T00:00:00"/>
    <s v="Pine Valley Hospital"/>
    <s v="USA"/>
    <s v="Kentucky"/>
    <n v="1024"/>
    <s v="Brian Davis"/>
    <x v="0"/>
    <n v="40"/>
    <x v="0"/>
    <x v="17"/>
    <x v="5"/>
    <x v="1"/>
    <x v="5"/>
    <x v="1"/>
    <s v="1 to 5"/>
    <n v="3"/>
    <n v="0"/>
    <n v="10"/>
    <s v="Clinical Advice"/>
    <n v="1.5"/>
    <n v="2"/>
    <n v="13"/>
    <x v="1"/>
    <x v="11"/>
  </r>
  <r>
    <d v="2025-01-03T00:00:00"/>
    <d v="2025-07-04T00:00:00"/>
    <s v="Fox River Hospital"/>
    <s v="USA"/>
    <s v="Illinois"/>
    <n v="1025"/>
    <s v="Karen Miller"/>
    <x v="1"/>
    <n v="34"/>
    <x v="0"/>
    <x v="1"/>
    <x v="2"/>
    <x v="0"/>
    <x v="2"/>
    <x v="0"/>
    <s v="6 to 10"/>
    <n v="4"/>
    <n v="1"/>
    <n v="2"/>
    <s v="Clinical Advice"/>
    <n v="2.9"/>
    <n v="3"/>
    <n v="7"/>
    <x v="0"/>
    <x v="0"/>
  </r>
  <r>
    <d v="2025-02-03T00:00:00"/>
    <d v="2025-08-04T00:00:00"/>
    <s v="Valley Forge Hospital"/>
    <s v="USA"/>
    <s v="Pennsylvania"/>
    <n v="1026"/>
    <s v="Mark Johnson"/>
    <x v="0"/>
    <n v="12"/>
    <x v="5"/>
    <x v="28"/>
    <x v="6"/>
    <x v="1"/>
    <x v="1"/>
    <x v="8"/>
    <s v="1 to 5"/>
    <n v="1"/>
    <n v="0"/>
    <n v="0"/>
    <s v="Discharged Themselves"/>
    <n v="1.3"/>
    <n v="1"/>
    <n v="1"/>
    <x v="0"/>
    <x v="1"/>
  </r>
  <r>
    <d v="2025-03-03T00:00:00"/>
    <d v="2025-09-04T00:00:00"/>
    <s v="Sunset Hills Hospital"/>
    <s v="USA"/>
    <s v="Missouri"/>
    <n v="1027"/>
    <s v="Sarah Adams"/>
    <x v="1"/>
    <n v="47"/>
    <x v="1"/>
    <x v="16"/>
    <x v="1"/>
    <x v="0"/>
    <x v="1"/>
    <x v="6"/>
    <s v="6 to 10"/>
    <n v="3"/>
    <n v="1"/>
    <n v="0"/>
    <s v="Clinical Advice"/>
    <n v="2.8"/>
    <n v="2"/>
    <n v="4"/>
    <x v="0"/>
    <x v="2"/>
  </r>
  <r>
    <d v="2025-04-03T00:00:00"/>
    <d v="2025-10-04T00:00:00"/>
    <s v="Hilltop Hospital"/>
    <s v="USA"/>
    <s v="Massachusetts"/>
    <n v="1028"/>
    <s v="Paul Clark"/>
    <x v="0"/>
    <n v="58"/>
    <x v="1"/>
    <x v="29"/>
    <x v="2"/>
    <x v="1"/>
    <x v="0"/>
    <x v="10"/>
    <s v="1 to 5"/>
    <n v="2"/>
    <n v="0"/>
    <n v="0"/>
    <s v="Discharged Themselves"/>
    <n v="2.5"/>
    <n v="2"/>
    <n v="2"/>
    <x v="0"/>
    <x v="3"/>
  </r>
  <r>
    <d v="2025-05-03T00:00:00"/>
    <d v="2025-11-04T00:00:00"/>
    <s v="Maple Grove Hospital"/>
    <s v="USA"/>
    <s v="South Carolina"/>
    <n v="1029"/>
    <s v="Laura Thompson"/>
    <x v="1"/>
    <n v="50"/>
    <x v="1"/>
    <x v="29"/>
    <x v="3"/>
    <x v="0"/>
    <x v="3"/>
    <x v="2"/>
    <s v="1 to 5"/>
    <n v="3"/>
    <n v="0"/>
    <n v="6"/>
    <s v="Clinical Advice"/>
    <n v="1.7"/>
    <n v="3"/>
    <n v="9"/>
    <x v="0"/>
    <x v="4"/>
  </r>
  <r>
    <d v="2025-06-03T00:00:00"/>
    <d v="2025-12-04T00:00:00"/>
    <s v="Evergreen Health Center"/>
    <s v="USA"/>
    <s v="Colorado"/>
    <n v="1030"/>
    <s v="Steven Lewis"/>
    <x v="0"/>
    <n v="22"/>
    <x v="3"/>
    <x v="29"/>
    <x v="5"/>
    <x v="1"/>
    <x v="5"/>
    <x v="0"/>
    <s v="1 to 5"/>
    <n v="4"/>
    <n v="0"/>
    <n v="4"/>
    <s v="Discharged Themselves"/>
    <n v="1.4"/>
    <n v="2"/>
    <n v="8"/>
    <x v="0"/>
    <x v="5"/>
  </r>
  <r>
    <d v="2025-07-03T00:00:00"/>
    <d v="2026-01-04T00:00:00"/>
    <s v="Pinecrest Hospital"/>
    <s v="USA"/>
    <s v="Alaska"/>
    <n v="1031"/>
    <s v="Karen Taylor"/>
    <x v="1"/>
    <n v="19"/>
    <x v="4"/>
    <x v="30"/>
    <x v="6"/>
    <x v="0"/>
    <x v="1"/>
    <x v="1"/>
    <s v="6 to 10"/>
    <n v="1"/>
    <n v="0"/>
    <n v="0"/>
    <s v="Clinical Advice"/>
    <n v="2.2999999999999998"/>
    <n v="2"/>
    <n v="1"/>
    <x v="0"/>
    <x v="6"/>
  </r>
  <r>
    <d v="2025-02-03T00:00:00"/>
    <d v="2026-02-04T00:00:00"/>
    <s v="Riverstone Hospital"/>
    <s v="USA"/>
    <s v="Idaho"/>
    <n v="1032"/>
    <s v="Kyle Harris"/>
    <x v="0"/>
    <n v="27"/>
    <x v="6"/>
    <x v="29"/>
    <x v="0"/>
    <x v="1"/>
    <x v="0"/>
    <x v="8"/>
    <s v="1 to 5"/>
    <n v="3"/>
    <n v="0"/>
    <n v="4"/>
    <s v="Discharged Themselves"/>
    <n v="1.8"/>
    <n v="3"/>
    <n v="7"/>
    <x v="0"/>
    <x v="1"/>
  </r>
  <r>
    <d v="2025-03-03T00:00:00"/>
    <d v="2026-03-04T00:00:00"/>
    <s v="Sunshine Clinic"/>
    <s v="USA"/>
    <s v="Hawaii"/>
    <n v="1033"/>
    <s v="Michelle Lewis"/>
    <x v="1"/>
    <n v="34"/>
    <x v="0"/>
    <x v="29"/>
    <x v="1"/>
    <x v="0"/>
    <x v="4"/>
    <x v="5"/>
    <s v="1 to 5"/>
    <n v="2"/>
    <n v="0"/>
    <n v="6"/>
    <s v="Clinical Advice"/>
    <n v="1.6"/>
    <n v="2"/>
    <n v="8"/>
    <x v="0"/>
    <x v="2"/>
  </r>
  <r>
    <d v="2025-04-03T00:00:00"/>
    <d v="2026-04-04T00:00:00"/>
    <s v="Desert Hills Hospital"/>
    <s v="USA"/>
    <s v="Nevada"/>
    <n v="1034"/>
    <s v="Mark Taylor"/>
    <x v="0"/>
    <n v="43"/>
    <x v="0"/>
    <x v="27"/>
    <x v="2"/>
    <x v="1"/>
    <x v="2"/>
    <x v="6"/>
    <s v="1 to 5"/>
    <n v="1"/>
    <n v="0"/>
    <n v="6"/>
    <s v="Discharged Themselves"/>
    <n v="1.9"/>
    <n v="2"/>
    <n v="7"/>
    <x v="0"/>
    <x v="3"/>
  </r>
  <r>
    <d v="2025-05-03T00:00:00"/>
    <d v="2026-05-04T00:00:00"/>
    <s v="Oceanview Hospital"/>
    <s v="USA"/>
    <s v="Maine"/>
    <n v="1035"/>
    <s v="Jessica Johnson"/>
    <x v="1"/>
    <n v="52"/>
    <x v="1"/>
    <x v="31"/>
    <x v="5"/>
    <x v="0"/>
    <x v="5"/>
    <x v="2"/>
    <s v="6 to 10"/>
    <n v="3"/>
    <n v="1"/>
    <n v="0"/>
    <s v="Clinical Advice"/>
    <n v="2.5"/>
    <n v="3"/>
    <n v="4"/>
    <x v="0"/>
    <x v="4"/>
  </r>
  <r>
    <d v="2025-06-03T00:00:00"/>
    <d v="2026-06-04T00:00:00"/>
    <s v="Maplewood Health Center"/>
    <s v="USA"/>
    <s v="Connecticut"/>
    <n v="1036"/>
    <s v="Brian Adams"/>
    <x v="0"/>
    <n v="60"/>
    <x v="2"/>
    <x v="32"/>
    <x v="0"/>
    <x v="1"/>
    <x v="0"/>
    <x v="0"/>
    <s v="1 to 5"/>
    <n v="4"/>
    <n v="0"/>
    <n v="4"/>
    <s v="Discharged Themselves"/>
    <n v="2.4"/>
    <n v="2"/>
    <n v="8"/>
    <x v="0"/>
    <x v="5"/>
  </r>
  <r>
    <d v="2025-07-03T00:00:00"/>
    <d v="2026-07-04T00:00:00"/>
    <s v="Blue Valley Hospital"/>
    <s v="USA"/>
    <s v="New Jersey"/>
    <n v="1037"/>
    <s v="Lauren Taylor"/>
    <x v="1"/>
    <n v="39"/>
    <x v="0"/>
    <x v="32"/>
    <x v="1"/>
    <x v="0"/>
    <x v="1"/>
    <x v="1"/>
    <s v="1 to 5"/>
    <n v="3"/>
    <n v="0"/>
    <n v="0"/>
    <s v="Clinical Advice"/>
    <n v="1.3"/>
    <n v="1"/>
    <n v="3"/>
    <x v="0"/>
    <x v="6"/>
  </r>
  <r>
    <d v="2025-08-03T00:00:00"/>
    <d v="2026-08-04T00:00:00"/>
    <s v="Green Hills Hospital"/>
    <s v="USA"/>
    <s v="Arizona"/>
    <n v="1038"/>
    <s v="Eric Wilson"/>
    <x v="0"/>
    <n v="45"/>
    <x v="1"/>
    <x v="32"/>
    <x v="3"/>
    <x v="1"/>
    <x v="3"/>
    <x v="8"/>
    <s v="1 to 5"/>
    <n v="2"/>
    <n v="0"/>
    <n v="6"/>
    <s v="Discharged Themselves"/>
    <n v="1.8"/>
    <n v="3"/>
    <n v="8"/>
    <x v="0"/>
    <x v="7"/>
  </r>
  <r>
    <d v="2025-09-03T00:00:00"/>
    <d v="2026-09-04T00:00:00"/>
    <s v="Crystal Lake Hospital"/>
    <s v="USA"/>
    <s v="Oregon"/>
    <n v="1039"/>
    <s v="Laura Brown"/>
    <x v="1"/>
    <n v="55"/>
    <x v="1"/>
    <x v="31"/>
    <x v="6"/>
    <x v="0"/>
    <x v="6"/>
    <x v="6"/>
    <s v="1 to 5"/>
    <n v="1"/>
    <n v="0"/>
    <n v="6"/>
    <s v="Clinical Advice"/>
    <n v="2"/>
    <n v="2"/>
    <n v="7"/>
    <x v="0"/>
    <x v="8"/>
  </r>
  <r>
    <d v="2025-02-03T00:00:00"/>
    <d v="2026-10-04T00:00:00"/>
    <s v="Forest Park Hospital"/>
    <s v="USA"/>
    <s v="Massachusetts"/>
    <n v="1040"/>
    <s v="Mark Johnson"/>
    <x v="0"/>
    <n v="42"/>
    <x v="0"/>
    <x v="22"/>
    <x v="2"/>
    <x v="1"/>
    <x v="0"/>
    <x v="0"/>
    <s v="1 to 5"/>
    <n v="3"/>
    <n v="0"/>
    <n v="4"/>
    <s v="Discharged Themselves"/>
    <n v="2.1"/>
    <n v="2"/>
    <n v="7"/>
    <x v="0"/>
    <x v="1"/>
  </r>
  <r>
    <d v="2025-01-03T00:00:00"/>
    <d v="2026-11-04T00:00:00"/>
    <s v="Pleasant View Hospital"/>
    <s v="USA"/>
    <s v="South Dakota"/>
    <n v="1041"/>
    <s v="Sarah Davis"/>
    <x v="1"/>
    <n v="29"/>
    <x v="6"/>
    <x v="24"/>
    <x v="0"/>
    <x v="0"/>
    <x v="1"/>
    <x v="2"/>
    <s v="1 to 5"/>
    <n v="4"/>
    <n v="1"/>
    <n v="1"/>
    <s v="Clinical Advice"/>
    <n v="2.2999999999999998"/>
    <n v="2"/>
    <n v="6"/>
    <x v="0"/>
    <x v="0"/>
  </r>
  <r>
    <d v="2025-02-03T00:00:00"/>
    <d v="2026-12-04T00:00:00"/>
    <s v="Cedar Ridge Hospital"/>
    <s v="USA"/>
    <s v="Nebraska"/>
    <n v="1042"/>
    <s v="Brian Miller"/>
    <x v="0"/>
    <n v="36"/>
    <x v="0"/>
    <x v="33"/>
    <x v="5"/>
    <x v="1"/>
    <x v="5"/>
    <x v="8"/>
    <s v="1 to 5"/>
    <n v="2"/>
    <n v="0"/>
    <n v="6"/>
    <s v="Clinical Advice"/>
    <n v="1.6"/>
    <n v="2"/>
    <n v="8"/>
    <x v="0"/>
    <x v="1"/>
  </r>
  <r>
    <d v="2025-03-03T00:00:00"/>
    <d v="2025-01-04T00:00:00"/>
    <s v="Valley Heights Hospital"/>
    <s v="USA"/>
    <s v="Washington"/>
    <n v="1043"/>
    <s v="Michelle Adams"/>
    <x v="1"/>
    <n v="48"/>
    <x v="1"/>
    <x v="34"/>
    <x v="1"/>
    <x v="0"/>
    <x v="4"/>
    <x v="5"/>
    <s v="1 to 5"/>
    <n v="3"/>
    <n v="0"/>
    <n v="4"/>
    <s v="Clinical Advice"/>
    <n v="1.8"/>
    <n v="2"/>
    <n v="7"/>
    <x v="0"/>
    <x v="2"/>
  </r>
  <r>
    <d v="2025-04-03T00:00:00"/>
    <d v="2025-02-04T00:00:00"/>
    <s v="Maple Hill Hospital"/>
    <s v="USA"/>
    <s v="Hawaii"/>
    <n v="1044"/>
    <s v="Eric Taylor"/>
    <x v="0"/>
    <n v="34"/>
    <x v="0"/>
    <x v="35"/>
    <x v="2"/>
    <x v="1"/>
    <x v="2"/>
    <x v="0"/>
    <s v="1 to 5"/>
    <n v="4"/>
    <n v="0"/>
    <n v="0"/>
    <s v="Discharged Themselves"/>
    <n v="1.4"/>
    <n v="2"/>
    <n v="4"/>
    <x v="0"/>
    <x v="3"/>
  </r>
  <r>
    <d v="2025-05-03T00:00:00"/>
    <d v="2025-03-04T00:00:00"/>
    <s v="Willow Creek Hospital"/>
    <s v="USA"/>
    <s v="Utah"/>
    <n v="1045"/>
    <s v="Laura Clark"/>
    <x v="1"/>
    <n v="57"/>
    <x v="1"/>
    <x v="32"/>
    <x v="5"/>
    <x v="0"/>
    <x v="5"/>
    <x v="2"/>
    <s v="1 to 5"/>
    <n v="3"/>
    <n v="1"/>
    <n v="2"/>
    <s v="Clinical Advice"/>
    <n v="2.7"/>
    <n v="3"/>
    <n v="6"/>
    <x v="0"/>
    <x v="4"/>
  </r>
  <r>
    <d v="2025-06-03T00:00:00"/>
    <d v="2025-04-04T00:00:00"/>
    <s v="Birchwood Hospital"/>
    <s v="USA"/>
    <s v="Oregon"/>
    <n v="1046"/>
    <s v="Steven Wilson"/>
    <x v="0"/>
    <n v="39"/>
    <x v="0"/>
    <x v="32"/>
    <x v="6"/>
    <x v="1"/>
    <x v="1"/>
    <x v="1"/>
    <s v="1 to 5"/>
    <n v="2"/>
    <n v="0"/>
    <n v="2"/>
    <s v="Clinical Advice"/>
    <n v="1.5"/>
    <n v="2"/>
    <n v="4"/>
    <x v="0"/>
    <x v="5"/>
  </r>
  <r>
    <d v="2025-07-03T00:00:00"/>
    <d v="2025-05-04T00:00:00"/>
    <s v="Blue Ridge Hospital"/>
    <s v="USA"/>
    <s v="Idaho"/>
    <n v="1047"/>
    <s v="Karen Martinez"/>
    <x v="1"/>
    <n v="31"/>
    <x v="6"/>
    <x v="36"/>
    <x v="0"/>
    <x v="0"/>
    <x v="0"/>
    <x v="8"/>
    <s v="1 to 5"/>
    <n v="4"/>
    <n v="0"/>
    <n v="6"/>
    <s v="Clinical Advice"/>
    <n v="2.1"/>
    <n v="2"/>
    <n v="10"/>
    <x v="0"/>
    <x v="6"/>
  </r>
  <r>
    <d v="2025-08-03T00:00:00"/>
    <d v="2025-06-04T00:00:00"/>
    <s v="Summit Hill Hospital"/>
    <s v="USA"/>
    <s v="Nevada"/>
    <n v="1048"/>
    <s v="Paul Johnson"/>
    <x v="0"/>
    <n v="53"/>
    <x v="1"/>
    <x v="36"/>
    <x v="1"/>
    <x v="1"/>
    <x v="4"/>
    <x v="5"/>
    <s v="1 to 5"/>
    <n v="3"/>
    <n v="0"/>
    <n v="0"/>
    <s v="Discharged Themselves"/>
    <n v="1.9"/>
    <n v="2"/>
    <n v="3"/>
    <x v="0"/>
    <x v="7"/>
  </r>
  <r>
    <d v="2025-09-03T00:00:00"/>
    <d v="2025-01-05T00:00:00"/>
    <s v="Riverbend Hospital"/>
    <s v="USA"/>
    <s v="Colorado"/>
    <n v="1049"/>
    <s v="Jessica Davis"/>
    <x v="1"/>
    <n v="45"/>
    <x v="1"/>
    <x v="36"/>
    <x v="2"/>
    <x v="0"/>
    <x v="2"/>
    <x v="6"/>
    <s v="1 to 5"/>
    <n v="4"/>
    <n v="1"/>
    <n v="3"/>
    <s v="Clinical Advice"/>
    <n v="2.6"/>
    <n v="3"/>
    <n v="8"/>
    <x v="0"/>
    <x v="8"/>
  </r>
  <r>
    <d v="2025-05-03T00:00:00"/>
    <d v="2025-02-05T00:00:00"/>
    <s v="Lakeside Hospital"/>
    <s v="USA"/>
    <s v="Wyoming"/>
    <n v="1050"/>
    <s v="Eric Brown"/>
    <x v="0"/>
    <n v="60"/>
    <x v="2"/>
    <x v="37"/>
    <x v="5"/>
    <x v="1"/>
    <x v="5"/>
    <x v="2"/>
    <s v="1 to 5"/>
    <n v="2"/>
    <n v="0"/>
    <n v="0"/>
    <s v="Discharged Themselves"/>
    <n v="2.4"/>
    <n v="2"/>
    <n v="2"/>
    <x v="0"/>
    <x v="4"/>
  </r>
  <r>
    <d v="2026-01-01T00:00:00"/>
    <d v="2026-05-01T00:00:00"/>
    <s v="Green Valley Hospital"/>
    <s v="USA"/>
    <s v="California"/>
    <n v="1001"/>
    <s v="John Smith"/>
    <x v="0"/>
    <n v="34"/>
    <x v="0"/>
    <x v="36"/>
    <x v="5"/>
    <x v="0"/>
    <x v="1"/>
    <x v="8"/>
    <n v="4"/>
    <n v="4"/>
    <n v="0"/>
    <n v="6"/>
    <s v="Clinical Advice"/>
    <n v="2000"/>
    <n v="2"/>
    <n v="10"/>
    <x v="1"/>
    <x v="0"/>
  </r>
  <r>
    <d v="2026-02-01T00:00:00"/>
    <d v="2026-06-01T00:00:00"/>
    <s v="Red River Hospital"/>
    <s v="USA"/>
    <s v="Texas"/>
    <n v="1002"/>
    <s v="Lisa Johnson"/>
    <x v="1"/>
    <n v="12"/>
    <x v="5"/>
    <x v="36"/>
    <x v="6"/>
    <x v="1"/>
    <x v="1"/>
    <x v="0"/>
    <n v="3"/>
    <n v="1"/>
    <n v="0"/>
    <n v="1"/>
    <s v="Discharged Themselves"/>
    <n v="1500"/>
    <n v="1"/>
    <n v="2"/>
    <x v="1"/>
    <x v="1"/>
  </r>
  <r>
    <d v="2026-03-01T00:00:00"/>
    <d v="2026-07-01T00:00:00"/>
    <s v="Blue Sky Hospital"/>
    <s v="USA"/>
    <s v="Florida"/>
    <n v="1003"/>
    <s v="Michael Williams"/>
    <x v="0"/>
    <n v="67"/>
    <x v="2"/>
    <x v="38"/>
    <x v="2"/>
    <x v="0"/>
    <x v="0"/>
    <x v="2"/>
    <n v="5"/>
    <n v="5"/>
    <n v="1"/>
    <n v="3"/>
    <s v="Clinical Advice"/>
    <n v="5000"/>
    <n v="3"/>
    <n v="9"/>
    <x v="1"/>
    <x v="2"/>
  </r>
  <r>
    <d v="2026-04-01T00:00:00"/>
    <d v="2026-08-01T00:00:00"/>
    <s v="Mountain View Hospital"/>
    <s v="USA"/>
    <s v="Colorado"/>
    <n v="1004"/>
    <s v="Sarah Davis"/>
    <x v="1"/>
    <n v="28"/>
    <x v="3"/>
    <x v="6"/>
    <x v="0"/>
    <x v="1"/>
    <x v="5"/>
    <x v="5"/>
    <n v="4"/>
    <n v="2"/>
    <n v="0"/>
    <n v="0"/>
    <s v="Discharged Themselves"/>
    <n v="2500"/>
    <n v="2"/>
    <n v="2"/>
    <x v="1"/>
    <x v="3"/>
  </r>
  <r>
    <d v="2026-05-01T00:00:00"/>
    <d v="2026-09-01T00:00:00"/>
    <s v="Riverbend Hospital"/>
    <s v="USA"/>
    <s v="New York"/>
    <n v="1005"/>
    <s v="David Taylor"/>
    <x v="0"/>
    <n v="45"/>
    <x v="0"/>
    <x v="23"/>
    <x v="1"/>
    <x v="0"/>
    <x v="1"/>
    <x v="8"/>
    <n v="3"/>
    <n v="3"/>
    <n v="0"/>
    <n v="6"/>
    <s v="Clinical Advice"/>
    <n v="3000"/>
    <n v="1"/>
    <n v="9"/>
    <x v="1"/>
    <x v="4"/>
  </r>
  <r>
    <d v="2026-06-01T00:00:00"/>
    <d v="2026-10-01T00:00:00"/>
    <s v="Oak Hill Hospital"/>
    <s v="USA"/>
    <s v="Ohio"/>
    <n v="1006"/>
    <s v="Emily Martinez"/>
    <x v="1"/>
    <n v="6"/>
    <x v="5"/>
    <x v="10"/>
    <x v="6"/>
    <x v="1"/>
    <x v="1"/>
    <x v="0"/>
    <n v="4"/>
    <n v="1"/>
    <n v="0"/>
    <n v="2"/>
    <s v="Discharged Themselves"/>
    <n v="1200"/>
    <n v="0"/>
    <n v="3"/>
    <x v="1"/>
    <x v="5"/>
  </r>
  <r>
    <d v="2026-07-01T00:00:00"/>
    <d v="2026-11-01T00:00:00"/>
    <s v="Clearview Hospital"/>
    <s v="USA"/>
    <s v="Washington"/>
    <n v="1007"/>
    <s v="Brian Wilson"/>
    <x v="0"/>
    <n v="55"/>
    <x v="1"/>
    <x v="12"/>
    <x v="2"/>
    <x v="0"/>
    <x v="0"/>
    <x v="2"/>
    <n v="2"/>
    <n v="5"/>
    <n v="1"/>
    <n v="3"/>
    <s v="Clinical Advice"/>
    <n v="4000"/>
    <n v="2"/>
    <n v="9"/>
    <x v="1"/>
    <x v="6"/>
  </r>
  <r>
    <d v="2026-08-01T00:00:00"/>
    <d v="2026-12-01T00:00:00"/>
    <s v="Silver Lake Hospital"/>
    <s v="USA"/>
    <s v="Nevada"/>
    <n v="1008"/>
    <s v="Megan White"/>
    <x v="1"/>
    <n v="19"/>
    <x v="4"/>
    <x v="24"/>
    <x v="5"/>
    <x v="1"/>
    <x v="5"/>
    <x v="5"/>
    <n v="4"/>
    <n v="1"/>
    <n v="0"/>
    <n v="5"/>
    <s v="Discharged Themselves"/>
    <n v="1600"/>
    <n v="1"/>
    <n v="6"/>
    <x v="1"/>
    <x v="7"/>
  </r>
  <r>
    <d v="2026-09-01T00:00:00"/>
    <d v="2025-01-01T00:00:00"/>
    <s v="Cedar Falls Hospital"/>
    <s v="USA"/>
    <s v="Iowa"/>
    <n v="1009"/>
    <s v="Jason Thompson"/>
    <x v="0"/>
    <n v="30"/>
    <x v="6"/>
    <x v="6"/>
    <x v="1"/>
    <x v="0"/>
    <x v="1"/>
    <x v="8"/>
    <n v="3"/>
    <n v="4"/>
    <n v="0"/>
    <n v="6"/>
    <s v="Clinical Advice"/>
    <n v="2800"/>
    <n v="1"/>
    <n v="10"/>
    <x v="1"/>
    <x v="8"/>
  </r>
  <r>
    <d v="2026-10-01T00:00:00"/>
    <d v="2025-02-01T00:00:00"/>
    <s v="Highland Hospital"/>
    <s v="USA"/>
    <s v="Illinois"/>
    <n v="1010"/>
    <s v="Karen Lewis"/>
    <x v="1"/>
    <n v="42"/>
    <x v="0"/>
    <x v="39"/>
    <x v="6"/>
    <x v="1"/>
    <x v="1"/>
    <x v="0"/>
    <n v="5"/>
    <n v="2"/>
    <n v="0"/>
    <n v="2"/>
    <s v="Discharged Themselves"/>
    <n v="1800"/>
    <n v="2"/>
    <n v="4"/>
    <x v="1"/>
    <x v="9"/>
  </r>
  <r>
    <d v="2026-11-01T00:00:00"/>
    <d v="2025-03-01T00:00:00"/>
    <s v="Pine Valley Hospital"/>
    <s v="USA"/>
    <s v="North Carolina"/>
    <n v="1011"/>
    <s v="Steven Robinson"/>
    <x v="0"/>
    <n v="72"/>
    <x v="2"/>
    <x v="13"/>
    <x v="2"/>
    <x v="0"/>
    <x v="0"/>
    <x v="5"/>
    <n v="4"/>
    <n v="5"/>
    <n v="0"/>
    <n v="3"/>
    <s v="Clinical Advice"/>
    <n v="6000"/>
    <n v="2"/>
    <n v="8"/>
    <x v="1"/>
    <x v="10"/>
  </r>
  <r>
    <d v="2026-12-01T00:00:00"/>
    <d v="2025-04-01T00:00:00"/>
    <s v="Maple Grove Hospital"/>
    <s v="USA"/>
    <s v="Michigan"/>
    <n v="1012"/>
    <s v="Lisa Davis"/>
    <x v="1"/>
    <n v="8"/>
    <x v="5"/>
    <x v="40"/>
    <x v="6"/>
    <x v="1"/>
    <x v="1"/>
    <x v="2"/>
    <n v="5"/>
    <n v="1"/>
    <n v="0"/>
    <n v="3"/>
    <s v="Discharged Themselves"/>
    <n v="1400"/>
    <n v="1"/>
    <n v="4"/>
    <x v="1"/>
    <x v="11"/>
  </r>
  <r>
    <d v="2025-01-01T00:00:00"/>
    <d v="2025-05-01T00:00:00"/>
    <s v="Lakeview Hospital"/>
    <s v="USA"/>
    <s v="New Jersey"/>
    <n v="1013"/>
    <s v="Matthew Jackson"/>
    <x v="0"/>
    <n v="48"/>
    <x v="1"/>
    <x v="20"/>
    <x v="0"/>
    <x v="0"/>
    <x v="1"/>
    <x v="8"/>
    <n v="3"/>
    <n v="3"/>
    <n v="0"/>
    <n v="4"/>
    <s v="Clinical Advice"/>
    <n v="3500"/>
    <n v="1"/>
    <n v="7"/>
    <x v="0"/>
    <x v="0"/>
  </r>
  <r>
    <d v="2025-02-01T00:00:00"/>
    <d v="2025-06-01T00:00:00"/>
    <s v="Valley View Hospital"/>
    <s v="USA"/>
    <s v="Idaho"/>
    <n v="1014"/>
    <s v="Jennifer Wilson"/>
    <x v="1"/>
    <n v="14"/>
    <x v="5"/>
    <x v="10"/>
    <x v="6"/>
    <x v="1"/>
    <x v="1"/>
    <x v="0"/>
    <n v="4"/>
    <n v="1"/>
    <n v="0"/>
    <n v="4"/>
    <s v="Discharged Themselves"/>
    <n v="1600"/>
    <n v="1"/>
    <n v="5"/>
    <x v="0"/>
    <x v="1"/>
  </r>
  <r>
    <d v="2025-03-01T00:00:00"/>
    <d v="2025-07-01T00:00:00"/>
    <s v="Crestfield Hospital"/>
    <s v="USA"/>
    <s v="New Mexico"/>
    <n v="1015"/>
    <s v="Robert Harris"/>
    <x v="0"/>
    <n v="65"/>
    <x v="2"/>
    <x v="11"/>
    <x v="2"/>
    <x v="0"/>
    <x v="0"/>
    <x v="2"/>
    <n v="3"/>
    <n v="4"/>
    <n v="0"/>
    <n v="1"/>
    <s v="Clinical Advice"/>
    <n v="4800"/>
    <n v="2"/>
    <n v="5"/>
    <x v="0"/>
    <x v="2"/>
  </r>
  <r>
    <d v="2025-04-01T00:00:00"/>
    <d v="2025-08-01T00:00:00"/>
    <s v="Silver Springs Hospital"/>
    <s v="USA"/>
    <s v="Wyoming"/>
    <n v="1016"/>
    <s v="Patricia Green"/>
    <x v="1"/>
    <n v="22"/>
    <x v="3"/>
    <x v="31"/>
    <x v="5"/>
    <x v="1"/>
    <x v="5"/>
    <x v="5"/>
    <n v="5"/>
    <n v="1"/>
    <n v="0"/>
    <n v="5"/>
    <s v="Discharged Themselves"/>
    <n v="2100"/>
    <n v="1"/>
    <n v="6"/>
    <x v="0"/>
    <x v="3"/>
  </r>
  <r>
    <d v="2025-05-01T00:00:00"/>
    <d v="2025-09-01T00:00:00"/>
    <s v="Westfield Hospital"/>
    <s v="USA"/>
    <s v="West Virginia"/>
    <n v="1017"/>
    <s v="David Taylor"/>
    <x v="0"/>
    <n v="56"/>
    <x v="1"/>
    <x v="33"/>
    <x v="1"/>
    <x v="0"/>
    <x v="1"/>
    <x v="8"/>
    <n v="4"/>
    <n v="5"/>
    <n v="1"/>
    <n v="4"/>
    <s v="Clinical Advice"/>
    <n v="4500"/>
    <n v="2"/>
    <n v="10"/>
    <x v="0"/>
    <x v="4"/>
  </r>
  <r>
    <d v="2025-06-01T00:00:00"/>
    <d v="2025-10-01T00:00:00"/>
    <s v="Evergreen Hospital"/>
    <s v="USA"/>
    <s v="Virginia"/>
    <n v="1018"/>
    <s v="Laura Brown"/>
    <x v="1"/>
    <n v="36"/>
    <x v="0"/>
    <x v="41"/>
    <x v="6"/>
    <x v="1"/>
    <x v="1"/>
    <x v="0"/>
    <n v="2"/>
    <n v="2"/>
    <n v="0"/>
    <n v="5"/>
    <s v="Discharged Themselves"/>
    <n v="2600"/>
    <n v="1"/>
    <n v="7"/>
    <x v="0"/>
    <x v="5"/>
  </r>
  <r>
    <d v="2025-07-01T00:00:00"/>
    <d v="2025-11-01T00:00:00"/>
    <s v="Fox River Hospital"/>
    <s v="USA"/>
    <s v="Illinois"/>
    <n v="1019"/>
    <s v="Eric Wilson"/>
    <x v="0"/>
    <n v="46"/>
    <x v="1"/>
    <x v="31"/>
    <x v="2"/>
    <x v="0"/>
    <x v="0"/>
    <x v="5"/>
    <n v="3"/>
    <n v="4"/>
    <n v="0"/>
    <n v="1"/>
    <s v="Clinical Advice"/>
    <n v="3700"/>
    <n v="1"/>
    <n v="5"/>
    <x v="0"/>
    <x v="6"/>
  </r>
  <r>
    <d v="2025-08-01T00:00:00"/>
    <d v="2025-12-01T00:00:00"/>
    <s v="Woodland Hospital"/>
    <s v="USA"/>
    <s v="Pennsylvania"/>
    <n v="1020"/>
    <s v="Amy Johnson"/>
    <x v="1"/>
    <n v="27"/>
    <x v="6"/>
    <x v="41"/>
    <x v="0"/>
    <x v="1"/>
    <x v="1"/>
    <x v="8"/>
    <n v="4"/>
    <n v="1"/>
    <n v="0"/>
    <n v="6"/>
    <s v="Discharged Themselves"/>
    <n v="1800"/>
    <n v="1"/>
    <n v="7"/>
    <x v="0"/>
    <x v="7"/>
  </r>
  <r>
    <d v="2025-09-01T00:00:00"/>
    <d v="2026-01-01T00:00:00"/>
    <s v="Sunrise Hospital"/>
    <s v="USA"/>
    <s v="Ohio"/>
    <n v="1021"/>
    <s v="Jason Miller"/>
    <x v="0"/>
    <n v="60"/>
    <x v="2"/>
    <x v="42"/>
    <x v="1"/>
    <x v="0"/>
    <x v="0"/>
    <x v="2"/>
    <n v="5"/>
    <n v="5"/>
    <n v="1"/>
    <n v="5"/>
    <s v="Clinical Advice"/>
    <n v="6000"/>
    <n v="3"/>
    <n v="11"/>
    <x v="0"/>
    <x v="8"/>
  </r>
  <r>
    <d v="2025-10-01T00:00:00"/>
    <d v="2026-02-01T00:00:00"/>
    <s v="Harvest Hospital"/>
    <s v="USA"/>
    <s v="Nebraska"/>
    <n v="1022"/>
    <s v="Michelle Thomas"/>
    <x v="1"/>
    <n v="49"/>
    <x v="1"/>
    <x v="24"/>
    <x v="6"/>
    <x v="1"/>
    <x v="1"/>
    <x v="5"/>
    <n v="2"/>
    <n v="2"/>
    <n v="0"/>
    <n v="5"/>
    <s v="Discharged Themselves"/>
    <n v="2100"/>
    <n v="1"/>
    <n v="7"/>
    <x v="0"/>
    <x v="9"/>
  </r>
  <r>
    <d v="2025-11-01T00:00:00"/>
    <d v="2026-03-01T00:00:00"/>
    <s v="Willow Springs Hospital"/>
    <s v="USA"/>
    <s v="South Dakota"/>
    <n v="1023"/>
    <s v="Brian King"/>
    <x v="0"/>
    <n v="11"/>
    <x v="5"/>
    <x v="10"/>
    <x v="0"/>
    <x v="0"/>
    <x v="5"/>
    <x v="8"/>
    <n v="4"/>
    <n v="3"/>
    <n v="0"/>
    <n v="1"/>
    <s v="Clinical Advice"/>
    <n v="2800"/>
    <n v="1"/>
    <n v="4"/>
    <x v="0"/>
    <x v="10"/>
  </r>
  <r>
    <d v="2025-12-01T00:00:00"/>
    <d v="2026-04-01T00:00:00"/>
    <s v="Crystal Lake Hospital"/>
    <s v="USA"/>
    <s v="Oregon"/>
    <n v="1024"/>
    <s v="Laura Brown"/>
    <x v="0"/>
    <n v="24"/>
    <x v="3"/>
    <x v="43"/>
    <x v="2"/>
    <x v="1"/>
    <x v="0"/>
    <x v="0"/>
    <n v="3"/>
    <n v="2"/>
    <n v="0"/>
    <n v="2"/>
    <s v="Discharged Themselves"/>
    <n v="1900"/>
    <n v="1"/>
    <n v="4"/>
    <x v="0"/>
    <x v="11"/>
  </r>
  <r>
    <d v="2026-01-01T00:00:00"/>
    <d v="2026-05-01T00:00:00"/>
    <s v="Cedar Ridge Hospital"/>
    <s v="USA"/>
    <s v="Massachusetts"/>
    <n v="1025"/>
    <s v="Mark Johnson"/>
    <x v="0"/>
    <n v="29"/>
    <x v="6"/>
    <x v="33"/>
    <x v="5"/>
    <x v="0"/>
    <x v="1"/>
    <x v="2"/>
    <n v="5"/>
    <n v="5"/>
    <n v="1"/>
    <n v="3"/>
    <s v="Clinical Advice"/>
    <n v="4500"/>
    <n v="2"/>
    <n v="9"/>
    <x v="1"/>
    <x v="0"/>
  </r>
  <r>
    <d v="2026-02-01T00:00:00"/>
    <d v="2026-06-01T00:00:00"/>
    <s v="Pleasant View Hospital"/>
    <s v="USA"/>
    <s v="New Hampshire"/>
    <n v="1026"/>
    <s v="Sarah Davis"/>
    <x v="1"/>
    <n v="32"/>
    <x v="0"/>
    <x v="11"/>
    <x v="1"/>
    <x v="1"/>
    <x v="5"/>
    <x v="5"/>
    <n v="4"/>
    <n v="2"/>
    <n v="0"/>
    <n v="4"/>
    <s v="Discharged Themselves"/>
    <n v="2300"/>
    <n v="1"/>
    <n v="6"/>
    <x v="1"/>
    <x v="1"/>
  </r>
  <r>
    <d v="2026-03-01T00:00:00"/>
    <d v="2026-07-01T00:00:00"/>
    <s v="Valley Heights Hospital"/>
    <s v="USA"/>
    <s v="Minnesota"/>
    <n v="1027"/>
    <s v="Michelle Adams"/>
    <x v="1"/>
    <n v="45"/>
    <x v="0"/>
    <x v="27"/>
    <x v="2"/>
    <x v="0"/>
    <x v="0"/>
    <x v="8"/>
    <n v="3"/>
    <n v="3"/>
    <n v="0"/>
    <n v="1"/>
    <s v="Clinical Advice"/>
    <n v="3700"/>
    <n v="1"/>
    <n v="4"/>
    <x v="1"/>
    <x v="2"/>
  </r>
  <r>
    <d v="2026-04-01T00:00:00"/>
    <d v="2026-01-02T00:00:00"/>
    <s v="Maple Hill Hospital"/>
    <s v="USA"/>
    <s v="Hawaii"/>
    <n v="1028"/>
    <s v="Eric Taylor"/>
    <x v="0"/>
    <n v="38"/>
    <x v="0"/>
    <x v="44"/>
    <x v="0"/>
    <x v="1"/>
    <x v="1"/>
    <x v="0"/>
    <n v="4"/>
    <n v="1"/>
    <n v="0"/>
    <n v="5"/>
    <s v="Discharged Themselves"/>
    <n v="1700"/>
    <n v="1"/>
    <n v="6"/>
    <x v="1"/>
    <x v="3"/>
  </r>
  <r>
    <d v="2026-05-01T00:00:00"/>
    <d v="2026-02-02T00:00:00"/>
    <s v="Willow Creek Hospital"/>
    <s v="USA"/>
    <s v="Utah"/>
    <n v="1029"/>
    <s v="Laura Clark"/>
    <x v="0"/>
    <n v="51"/>
    <x v="1"/>
    <x v="24"/>
    <x v="6"/>
    <x v="0"/>
    <x v="5"/>
    <x v="2"/>
    <n v="5"/>
    <n v="5"/>
    <n v="1"/>
    <n v="3"/>
    <s v="Clinical Advice"/>
    <n v="5200"/>
    <n v="3"/>
    <n v="9"/>
    <x v="1"/>
    <x v="4"/>
  </r>
  <r>
    <d v="2026-06-01T00:00:00"/>
    <d v="2026-03-02T00:00:00"/>
    <s v="Birchwood Hospital"/>
    <s v="USA"/>
    <s v="Oregon"/>
    <n v="1030"/>
    <s v="Steven Wilson"/>
    <x v="0"/>
    <n v="22"/>
    <x v="3"/>
    <x v="45"/>
    <x v="5"/>
    <x v="1"/>
    <x v="0"/>
    <x v="5"/>
    <n v="4"/>
    <n v="1"/>
    <n v="0"/>
    <n v="6"/>
    <s v="Discharged Themselves"/>
    <n v="1300"/>
    <n v="1"/>
    <n v="7"/>
    <x v="1"/>
    <x v="5"/>
  </r>
  <r>
    <d v="2026-07-01T00:00:00"/>
    <d v="2026-04-02T00:00:00"/>
    <s v="Blue Ridge Hospital"/>
    <s v="USA"/>
    <s v="Idaho"/>
    <n v="1031"/>
    <s v="Karen Martinez"/>
    <x v="1"/>
    <n v="20"/>
    <x v="4"/>
    <x v="46"/>
    <x v="0"/>
    <x v="0"/>
    <x v="1"/>
    <x v="8"/>
    <n v="3"/>
    <n v="4"/>
    <n v="0"/>
    <n v="1"/>
    <s v="Clinical Advice"/>
    <n v="2800"/>
    <n v="1"/>
    <n v="5"/>
    <x v="1"/>
    <x v="6"/>
  </r>
  <r>
    <d v="2026-02-01T00:00:00"/>
    <d v="2026-05-02T00:00:00"/>
    <s v="Summit Hill Hospital"/>
    <s v="USA"/>
    <s v="Nevada"/>
    <n v="1032"/>
    <s v="Paul Johnson"/>
    <x v="0"/>
    <n v="53"/>
    <x v="1"/>
    <x v="47"/>
    <x v="1"/>
    <x v="1"/>
    <x v="1"/>
    <x v="2"/>
    <n v="2"/>
    <n v="2"/>
    <n v="0"/>
    <n v="2"/>
    <s v="Discharged Themselves"/>
    <n v="2100"/>
    <n v="1"/>
    <n v="4"/>
    <x v="1"/>
    <x v="1"/>
  </r>
  <r>
    <d v="2026-03-01T00:00:00"/>
    <d v="2026-06-02T00:00:00"/>
    <s v="Riverbend Hospital"/>
    <s v="USA"/>
    <s v="Colorado"/>
    <n v="1033"/>
    <s v="Jessica Davis"/>
    <x v="1"/>
    <n v="22"/>
    <x v="3"/>
    <x v="5"/>
    <x v="6"/>
    <x v="0"/>
    <x v="1"/>
    <x v="5"/>
    <n v="5"/>
    <n v="3"/>
    <n v="0"/>
    <n v="1"/>
    <s v="Clinical Advice"/>
    <n v="3300"/>
    <n v="2"/>
    <n v="4"/>
    <x v="1"/>
    <x v="2"/>
  </r>
  <r>
    <d v="2026-04-01T00:00:00"/>
    <d v="2026-07-02T00:00:00"/>
    <s v="Lakeside Hospital"/>
    <s v="USA"/>
    <s v="Wyoming"/>
    <n v="1034"/>
    <s v="Eric Brown"/>
    <x v="0"/>
    <n v="62"/>
    <x v="2"/>
    <x v="23"/>
    <x v="2"/>
    <x v="1"/>
    <x v="5"/>
    <x v="8"/>
    <n v="3"/>
    <n v="1"/>
    <n v="0"/>
    <n v="4"/>
    <s v="Discharged Themselves"/>
    <n v="1700"/>
    <n v="1"/>
    <n v="5"/>
    <x v="1"/>
    <x v="3"/>
  </r>
  <r>
    <d v="2026-05-01T00:00:00"/>
    <d v="2026-08-02T00:00:00"/>
    <s v="Green Valley Hospital"/>
    <s v="USA"/>
    <s v="California"/>
    <n v="1035"/>
    <s v="Laura Green"/>
    <x v="0"/>
    <n v="45"/>
    <x v="0"/>
    <x v="13"/>
    <x v="0"/>
    <x v="0"/>
    <x v="0"/>
    <x v="2"/>
    <n v="5"/>
    <n v="4"/>
    <n v="1"/>
    <n v="1"/>
    <s v="Clinical Advice"/>
    <n v="4200"/>
    <n v="2"/>
    <n v="6"/>
    <x v="1"/>
    <x v="4"/>
  </r>
  <r>
    <d v="2026-06-01T00:00:00"/>
    <d v="2026-09-02T00:00:00"/>
    <s v="Clearview Hospital"/>
    <s v="USA"/>
    <s v="Washington"/>
    <n v="1036"/>
    <s v="Brian Williams"/>
    <x v="0"/>
    <n v="49"/>
    <x v="1"/>
    <x v="33"/>
    <x v="1"/>
    <x v="1"/>
    <x v="1"/>
    <x v="5"/>
    <n v="4"/>
    <n v="2"/>
    <n v="0"/>
    <n v="2"/>
    <s v="Discharged Themselves"/>
    <n v="2100"/>
    <n v="1"/>
    <n v="4"/>
    <x v="1"/>
    <x v="5"/>
  </r>
  <r>
    <d v="2026-07-01T00:00:00"/>
    <d v="2026-10-02T00:00:00"/>
    <s v="Fox River Hospital"/>
    <s v="USA"/>
    <s v="Iowa"/>
    <n v="1037"/>
    <s v="Emily Lewis"/>
    <x v="1"/>
    <n v="30"/>
    <x v="6"/>
    <x v="13"/>
    <x v="6"/>
    <x v="0"/>
    <x v="1"/>
    <x v="8"/>
    <n v="2"/>
    <n v="3"/>
    <n v="0"/>
    <n v="2"/>
    <s v="Clinical Advice"/>
    <n v="2700"/>
    <n v="1"/>
    <n v="5"/>
    <x v="1"/>
    <x v="6"/>
  </r>
  <r>
    <d v="2026-08-01T00:00:00"/>
    <d v="2026-11-02T00:00:00"/>
    <s v="Crystal Lake Hospital"/>
    <s v="USA"/>
    <s v="Oregon"/>
    <n v="1038"/>
    <s v="Matthew Clark"/>
    <x v="0"/>
    <n v="31"/>
    <x v="0"/>
    <x v="44"/>
    <x v="5"/>
    <x v="1"/>
    <x v="5"/>
    <x v="0"/>
    <n v="4"/>
    <n v="1"/>
    <n v="0"/>
    <n v="3"/>
    <s v="Discharged Themselves"/>
    <n v="1500"/>
    <n v="1"/>
    <n v="4"/>
    <x v="1"/>
    <x v="7"/>
  </r>
  <r>
    <d v="2026-09-01T00:00:00"/>
    <d v="2026-12-02T00:00:00"/>
    <s v="Cedar Ridge Hospital"/>
    <s v="USA"/>
    <s v="Massachusetts"/>
    <n v="1039"/>
    <s v="Laura Brown"/>
    <x v="1"/>
    <n v="57"/>
    <x v="1"/>
    <x v="48"/>
    <x v="2"/>
    <x v="0"/>
    <x v="0"/>
    <x v="2"/>
    <n v="2"/>
    <n v="5"/>
    <n v="1"/>
    <n v="6"/>
    <s v="Clinical Advice"/>
    <n v="5500"/>
    <n v="3"/>
    <n v="12"/>
    <x v="1"/>
    <x v="8"/>
  </r>
  <r>
    <d v="2026-04-01T00:00:00"/>
    <d v="2025-01-02T00:00:00"/>
    <s v="Green Valley Hospital"/>
    <s v="USA"/>
    <s v="California"/>
    <n v="1040"/>
    <s v="Brian Wilson"/>
    <x v="0"/>
    <n v="23"/>
    <x v="3"/>
    <x v="37"/>
    <x v="0"/>
    <x v="1"/>
    <x v="1"/>
    <x v="8"/>
    <n v="3"/>
    <n v="4"/>
    <n v="0"/>
    <n v="5"/>
    <s v="Discharged Themselves"/>
    <n v="1900"/>
    <n v="1"/>
    <n v="9"/>
    <x v="1"/>
    <x v="3"/>
  </r>
  <r>
    <d v="2026-01-03T00:00:00"/>
    <d v="2026-05-03T00:00:00"/>
    <s v="City Hospital"/>
    <s v="USA"/>
    <s v="Pennsylvania"/>
    <n v="1001"/>
    <s v="John Doe"/>
    <x v="0"/>
    <n v="45"/>
    <x v="0"/>
    <x v="14"/>
    <x v="0"/>
    <x v="0"/>
    <x v="0"/>
    <x v="0"/>
    <s v="1 to 5"/>
    <n v="13"/>
    <n v="7"/>
    <n v="2"/>
    <s v="Clinical Advice"/>
    <n v="2.5"/>
    <n v="7"/>
    <n v="22"/>
    <x v="1"/>
    <x v="0"/>
  </r>
  <r>
    <d v="2026-02-03T00:00:00"/>
    <d v="2026-07-03T00:00:00"/>
    <s v="General Hospital"/>
    <s v="USA"/>
    <s v="Pennsylvania"/>
    <n v="1002"/>
    <s v="Jane Smith"/>
    <x v="0"/>
    <n v="32"/>
    <x v="0"/>
    <x v="45"/>
    <x v="1"/>
    <x v="1"/>
    <x v="1"/>
    <x v="1"/>
    <s v="6 to 10"/>
    <n v="17"/>
    <n v="12"/>
    <n v="0"/>
    <s v="Discharged Themselves"/>
    <n v="3"/>
    <n v="5"/>
    <n v="29"/>
    <x v="1"/>
    <x v="1"/>
  </r>
  <r>
    <d v="2026-03-03T00:00:00"/>
    <d v="2026-06-03T00:00:00"/>
    <s v="Metro Health"/>
    <s v="USA"/>
    <s v="New Jersey"/>
    <n v="1003"/>
    <s v="Alice Johnson"/>
    <x v="1"/>
    <n v="60"/>
    <x v="1"/>
    <x v="49"/>
    <x v="2"/>
    <x v="0"/>
    <x v="2"/>
    <x v="2"/>
    <s v="1 to 5"/>
    <n v="10"/>
    <n v="3"/>
    <n v="6"/>
    <s v="Clinical Advice"/>
    <n v="1.8"/>
    <n v="6"/>
    <n v="19"/>
    <x v="1"/>
    <x v="2"/>
  </r>
  <r>
    <d v="2026-04-03T00:00:00"/>
    <d v="2026-10-03T00:00:00"/>
    <s v="Suburban Clinic"/>
    <s v="USA"/>
    <s v="Delaware"/>
    <n v="1004"/>
    <s v="Michael Brown"/>
    <x v="0"/>
    <n v="70"/>
    <x v="2"/>
    <x v="11"/>
    <x v="3"/>
    <x v="0"/>
    <x v="3"/>
    <x v="3"/>
    <s v="6 to 10"/>
    <n v="8"/>
    <n v="2"/>
    <n v="0"/>
    <s v="Died"/>
    <n v="2.1"/>
    <n v="8"/>
    <n v="10"/>
    <x v="1"/>
    <x v="3"/>
  </r>
  <r>
    <d v="2026-05-03T00:00:00"/>
    <d v="2026-11-03T00:00:00"/>
    <s v="Urban Care"/>
    <s v="USA"/>
    <s v="Pennsylvania"/>
    <n v="1005"/>
    <s v="Emily Davis"/>
    <x v="0"/>
    <n v="38"/>
    <x v="0"/>
    <x v="22"/>
    <x v="4"/>
    <x v="1"/>
    <x v="4"/>
    <x v="4"/>
    <s v="1 to 5"/>
    <n v="9"/>
    <n v="1"/>
    <n v="2"/>
    <s v="Clinical Advice"/>
    <n v="2.9"/>
    <n v="4"/>
    <n v="12"/>
    <x v="1"/>
    <x v="4"/>
  </r>
  <r>
    <d v="2026-06-03T00:00:00"/>
    <d v="2026-12-03T00:00:00"/>
    <s v="Riverbend Hospital"/>
    <s v="USA"/>
    <s v="Texas"/>
    <n v="1006"/>
    <s v="David Miller"/>
    <x v="0"/>
    <n v="25"/>
    <x v="3"/>
    <x v="23"/>
    <x v="5"/>
    <x v="0"/>
    <x v="5"/>
    <x v="5"/>
    <s v="1 to 5"/>
    <n v="5"/>
    <n v="0"/>
    <n v="0"/>
    <s v="Clinical Advice"/>
    <n v="1.5"/>
    <n v="3"/>
    <n v="5"/>
    <x v="1"/>
    <x v="5"/>
  </r>
  <r>
    <d v="2026-07-03T00:00:00"/>
    <d v="2025-03-03T00:00:00"/>
    <s v="Northside Hospital"/>
    <s v="USA"/>
    <s v="Georgia"/>
    <n v="1007"/>
    <s v="Sarah Wilson"/>
    <x v="1"/>
    <n v="18"/>
    <x v="4"/>
    <x v="40"/>
    <x v="6"/>
    <x v="1"/>
    <x v="1"/>
    <x v="6"/>
    <s v="1 to 5"/>
    <n v="2"/>
    <n v="0"/>
    <n v="6"/>
    <s v="Discharged Themselves"/>
    <n v="1"/>
    <n v="1"/>
    <n v="8"/>
    <x v="1"/>
    <x v="6"/>
  </r>
  <r>
    <d v="2026-08-03T00:00:00"/>
    <d v="2025-08-03T00:00:00"/>
    <s v="Eastside Clinic"/>
    <s v="USA"/>
    <s v="Florida"/>
    <n v="1008"/>
    <s v="Thomas Brown"/>
    <x v="0"/>
    <n v="12"/>
    <x v="5"/>
    <x v="22"/>
    <x v="6"/>
    <x v="0"/>
    <x v="6"/>
    <x v="7"/>
    <s v="6 to 10"/>
    <n v="1"/>
    <n v="0"/>
    <n v="1"/>
    <s v="Clinical Advice"/>
    <n v="2.2000000000000002"/>
    <n v="2"/>
    <n v="2"/>
    <x v="1"/>
    <x v="7"/>
  </r>
  <r>
    <d v="2026-09-03T00:00:00"/>
    <d v="2025-06-03T00:00:00"/>
    <s v="Green Valley Hospital"/>
    <s v="USA"/>
    <s v="California"/>
    <n v="1009"/>
    <s v="Rachel Adams"/>
    <x v="1"/>
    <n v="29"/>
    <x v="6"/>
    <x v="50"/>
    <x v="0"/>
    <x v="1"/>
    <x v="0"/>
    <x v="8"/>
    <s v="1 to 5"/>
    <n v="4"/>
    <n v="0"/>
    <n v="1"/>
    <s v="Discharged Themselves"/>
    <n v="1.8"/>
    <n v="3"/>
    <n v="5"/>
    <x v="1"/>
    <x v="8"/>
  </r>
  <r>
    <d v="2026-10-03T00:00:00"/>
    <d v="2025-10-03T00:00:00"/>
    <s v="Lakeside Hospital"/>
    <s v="USA"/>
    <s v="Illinois"/>
    <n v="1010"/>
    <s v="Kevin Johnson"/>
    <x v="0"/>
    <n v="15"/>
    <x v="5"/>
    <x v="38"/>
    <x v="1"/>
    <x v="0"/>
    <x v="1"/>
    <x v="9"/>
    <s v="1 to 5"/>
    <n v="3"/>
    <n v="0"/>
    <n v="0"/>
    <s v="Clinical Advice"/>
    <n v="2.5"/>
    <n v="3"/>
    <n v="3"/>
    <x v="1"/>
    <x v="9"/>
  </r>
  <r>
    <d v="2026-01-03T00:00:00"/>
    <d v="2026-05-03T00:00:00"/>
    <s v="City Hospital"/>
    <s v="USA"/>
    <s v="Pennsylvania"/>
    <n v="1001"/>
    <s v="John Doe"/>
    <x v="0"/>
    <n v="45"/>
    <x v="0"/>
    <x v="51"/>
    <x v="0"/>
    <x v="0"/>
    <x v="0"/>
    <x v="0"/>
    <s v="1 to 5"/>
    <n v="13"/>
    <n v="7"/>
    <n v="6"/>
    <s v="Clinical Advice"/>
    <n v="2.5"/>
    <n v="7"/>
    <n v="26"/>
    <x v="1"/>
    <x v="0"/>
  </r>
  <r>
    <d v="2026-02-03T00:00:00"/>
    <d v="2026-07-03T00:00:00"/>
    <s v="General Hospital"/>
    <s v="USA"/>
    <s v="Pennsylvania"/>
    <n v="1002"/>
    <s v="Jane Smith"/>
    <x v="0"/>
    <n v="32"/>
    <x v="0"/>
    <x v="24"/>
    <x v="1"/>
    <x v="1"/>
    <x v="1"/>
    <x v="1"/>
    <s v="6 to 10"/>
    <n v="17"/>
    <n v="12"/>
    <n v="1"/>
    <s v="Discharged Themselves"/>
    <n v="3"/>
    <n v="5"/>
    <n v="30"/>
    <x v="1"/>
    <x v="1"/>
  </r>
  <r>
    <d v="2026-03-03T00:00:00"/>
    <d v="2026-06-03T00:00:00"/>
    <s v="Metro Health"/>
    <s v="USA"/>
    <s v="New Jersey"/>
    <n v="1003"/>
    <s v="Alice Johnson"/>
    <x v="1"/>
    <n v="60"/>
    <x v="1"/>
    <x v="52"/>
    <x v="2"/>
    <x v="0"/>
    <x v="2"/>
    <x v="2"/>
    <s v="1 to 5"/>
    <n v="10"/>
    <n v="3"/>
    <n v="1"/>
    <s v="Clinical Advice"/>
    <n v="1.8"/>
    <n v="6"/>
    <n v="14"/>
    <x v="1"/>
    <x v="2"/>
  </r>
  <r>
    <d v="2026-04-03T00:00:00"/>
    <d v="2026-10-03T00:00:00"/>
    <s v="Suburban Clinic"/>
    <s v="USA"/>
    <s v="Delaware"/>
    <n v="1004"/>
    <s v="Michael Brown"/>
    <x v="0"/>
    <n v="70"/>
    <x v="2"/>
    <x v="31"/>
    <x v="3"/>
    <x v="0"/>
    <x v="3"/>
    <x v="3"/>
    <s v="6 to 10"/>
    <n v="8"/>
    <n v="2"/>
    <n v="0"/>
    <s v="Died"/>
    <n v="2.1"/>
    <n v="8"/>
    <n v="10"/>
    <x v="1"/>
    <x v="3"/>
  </r>
  <r>
    <d v="2026-05-03T00:00:00"/>
    <d v="2026-11-03T00:00:00"/>
    <s v="Urban Care"/>
    <s v="USA"/>
    <s v="Pennsylvania"/>
    <n v="1005"/>
    <s v="Emily Davis"/>
    <x v="1"/>
    <n v="38"/>
    <x v="0"/>
    <x v="39"/>
    <x v="4"/>
    <x v="1"/>
    <x v="4"/>
    <x v="4"/>
    <s v="1 to 5"/>
    <n v="9"/>
    <n v="1"/>
    <n v="6"/>
    <s v="Clinical Advice"/>
    <n v="2.9"/>
    <n v="4"/>
    <n v="16"/>
    <x v="1"/>
    <x v="4"/>
  </r>
  <r>
    <d v="2026-06-03T00:00:00"/>
    <d v="2026-12-03T00:00:00"/>
    <s v="Riverbend Hospital"/>
    <s v="USA"/>
    <s v="Texas"/>
    <n v="1006"/>
    <s v="David Miller"/>
    <x v="0"/>
    <n v="25"/>
    <x v="3"/>
    <x v="40"/>
    <x v="5"/>
    <x v="0"/>
    <x v="5"/>
    <x v="5"/>
    <s v="1 to 5"/>
    <n v="5"/>
    <n v="0"/>
    <n v="1"/>
    <s v="Clinical Advice"/>
    <n v="1.5"/>
    <n v="3"/>
    <n v="6"/>
    <x v="1"/>
    <x v="5"/>
  </r>
  <r>
    <d v="2026-07-03T00:00:00"/>
    <d v="2025-03-03T00:00:00"/>
    <s v="Northside Hospital"/>
    <s v="USA"/>
    <s v="Georgia"/>
    <n v="1007"/>
    <s v="Sarah Wilson"/>
    <x v="1"/>
    <n v="18"/>
    <x v="4"/>
    <x v="23"/>
    <x v="6"/>
    <x v="1"/>
    <x v="1"/>
    <x v="6"/>
    <s v="1 to 5"/>
    <n v="2"/>
    <n v="0"/>
    <n v="2"/>
    <s v="Discharged Themselves"/>
    <n v="1"/>
    <n v="1"/>
    <n v="4"/>
    <x v="1"/>
    <x v="6"/>
  </r>
  <r>
    <d v="2026-07-03T00:00:00"/>
    <d v="2025-07-04T00:00:00"/>
    <s v="Blue Valley Hospital"/>
    <s v="USA"/>
    <s v="New Jersey"/>
    <n v="1037"/>
    <s v="Lauren Taylor"/>
    <x v="0"/>
    <n v="39"/>
    <x v="0"/>
    <x v="40"/>
    <x v="1"/>
    <x v="0"/>
    <x v="1"/>
    <x v="1"/>
    <s v="1 to 5"/>
    <n v="3"/>
    <n v="0"/>
    <n v="6"/>
    <s v="Clinical Advice"/>
    <n v="1.3"/>
    <n v="1"/>
    <n v="9"/>
    <x v="1"/>
    <x v="6"/>
  </r>
  <r>
    <d v="2026-08-03T00:00:00"/>
    <d v="2025-08-04T00:00:00"/>
    <s v="Green Hills Hospital"/>
    <s v="USA"/>
    <s v="Arizona"/>
    <n v="1038"/>
    <s v="Eric Wilson"/>
    <x v="0"/>
    <n v="45"/>
    <x v="1"/>
    <x v="42"/>
    <x v="3"/>
    <x v="1"/>
    <x v="3"/>
    <x v="8"/>
    <s v="1 to 5"/>
    <n v="2"/>
    <n v="0"/>
    <n v="6"/>
    <s v="Discharged Themselves"/>
    <n v="1.8"/>
    <n v="3"/>
    <n v="8"/>
    <x v="1"/>
    <x v="7"/>
  </r>
  <r>
    <d v="2026-09-03T00:00:00"/>
    <d v="2025-09-04T00:00:00"/>
    <s v="Crystal Lake Hospital"/>
    <s v="USA"/>
    <s v="Oregon"/>
    <n v="1039"/>
    <s v="Laura Brown"/>
    <x v="1"/>
    <n v="55"/>
    <x v="1"/>
    <x v="40"/>
    <x v="6"/>
    <x v="0"/>
    <x v="6"/>
    <x v="6"/>
    <s v="1 to 5"/>
    <n v="1"/>
    <n v="0"/>
    <n v="1"/>
    <s v="Clinical Advice"/>
    <n v="2"/>
    <n v="2"/>
    <n v="2"/>
    <x v="1"/>
    <x v="8"/>
  </r>
  <r>
    <d v="2026-02-03T00:00:00"/>
    <d v="2025-10-04T00:00:00"/>
    <s v="Forest Park Hospital"/>
    <s v="USA"/>
    <s v="Massachusetts"/>
    <n v="1040"/>
    <s v="Mark Johnson"/>
    <x v="0"/>
    <n v="42"/>
    <x v="0"/>
    <x v="20"/>
    <x v="2"/>
    <x v="1"/>
    <x v="0"/>
    <x v="0"/>
    <s v="1 to 5"/>
    <n v="3"/>
    <n v="0"/>
    <n v="1"/>
    <s v="Discharged Themselves"/>
    <n v="2.1"/>
    <n v="2"/>
    <n v="4"/>
    <x v="1"/>
    <x v="1"/>
  </r>
  <r>
    <d v="2026-01-03T00:00:00"/>
    <d v="2025-11-04T00:00:00"/>
    <s v="Pleasant View Hospital"/>
    <s v="USA"/>
    <s v="South Dakota"/>
    <n v="1041"/>
    <s v="Sarah Davis"/>
    <x v="1"/>
    <n v="29"/>
    <x v="6"/>
    <x v="53"/>
    <x v="0"/>
    <x v="0"/>
    <x v="1"/>
    <x v="2"/>
    <s v="1 to 5"/>
    <n v="4"/>
    <n v="1"/>
    <n v="1"/>
    <s v="Clinical Advice"/>
    <n v="2.2999999999999998"/>
    <n v="2"/>
    <n v="6"/>
    <x v="1"/>
    <x v="0"/>
  </r>
  <r>
    <d v="2026-02-03T00:00:00"/>
    <d v="2025-12-04T00:00:00"/>
    <s v="Cedar Ridge Hospital"/>
    <s v="USA"/>
    <s v="Nebraska"/>
    <n v="1042"/>
    <s v="Brian Miller"/>
    <x v="0"/>
    <n v="36"/>
    <x v="0"/>
    <x v="35"/>
    <x v="5"/>
    <x v="1"/>
    <x v="5"/>
    <x v="8"/>
    <s v="1 to 5"/>
    <n v="2"/>
    <n v="0"/>
    <n v="4"/>
    <s v="Clinical Advice"/>
    <n v="1.6"/>
    <n v="2"/>
    <n v="6"/>
    <x v="1"/>
    <x v="1"/>
  </r>
  <r>
    <d v="2026-03-03T00:00:00"/>
    <d v="2026-01-04T00:00:00"/>
    <s v="Valley Heights Hospital"/>
    <s v="USA"/>
    <s v="Washington"/>
    <n v="1043"/>
    <s v="Michelle Adams"/>
    <x v="0"/>
    <n v="48"/>
    <x v="1"/>
    <x v="44"/>
    <x v="1"/>
    <x v="0"/>
    <x v="4"/>
    <x v="5"/>
    <s v="1 to 5"/>
    <n v="3"/>
    <n v="0"/>
    <n v="1"/>
    <s v="Clinical Advice"/>
    <n v="1.8"/>
    <n v="2"/>
    <n v="4"/>
    <x v="1"/>
    <x v="2"/>
  </r>
  <r>
    <d v="2026-04-03T00:00:00"/>
    <d v="2026-02-04T00:00:00"/>
    <s v="Maple Hill Hospital"/>
    <s v="USA"/>
    <s v="Hawaii"/>
    <n v="1044"/>
    <s v="Eric Taylor"/>
    <x v="0"/>
    <n v="34"/>
    <x v="0"/>
    <x v="53"/>
    <x v="2"/>
    <x v="1"/>
    <x v="2"/>
    <x v="0"/>
    <s v="1 to 5"/>
    <n v="4"/>
    <n v="0"/>
    <n v="0"/>
    <s v="Discharged Themselves"/>
    <n v="1.4"/>
    <n v="2"/>
    <n v="4"/>
    <x v="1"/>
    <x v="3"/>
  </r>
  <r>
    <d v="2026-05-03T00:00:00"/>
    <d v="2026-03-04T00:00:00"/>
    <s v="Willow Creek Hospital"/>
    <s v="USA"/>
    <s v="Utah"/>
    <n v="1045"/>
    <s v="Laura Clark"/>
    <x v="1"/>
    <n v="57"/>
    <x v="1"/>
    <x v="34"/>
    <x v="5"/>
    <x v="0"/>
    <x v="5"/>
    <x v="2"/>
    <s v="1 to 5"/>
    <n v="3"/>
    <n v="1"/>
    <n v="2"/>
    <s v="Clinical Advice"/>
    <n v="2.7"/>
    <n v="3"/>
    <n v="6"/>
    <x v="1"/>
    <x v="4"/>
  </r>
  <r>
    <d v="2026-06-03T00:00:00"/>
    <d v="2026-04-04T00:00:00"/>
    <s v="Birchwood Hospital"/>
    <s v="USA"/>
    <s v="Oregon"/>
    <n v="1046"/>
    <s v="Steven Wilson"/>
    <x v="0"/>
    <n v="39"/>
    <x v="0"/>
    <x v="34"/>
    <x v="6"/>
    <x v="1"/>
    <x v="1"/>
    <x v="1"/>
    <s v="1 to 5"/>
    <n v="2"/>
    <n v="0"/>
    <n v="2"/>
    <s v="Clinical Advice"/>
    <n v="1.5"/>
    <n v="2"/>
    <n v="4"/>
    <x v="1"/>
    <x v="5"/>
  </r>
  <r>
    <d v="2026-07-03T00:00:00"/>
    <d v="2026-05-04T00:00:00"/>
    <s v="Blue Ridge Hospital"/>
    <s v="USA"/>
    <s v="Idaho"/>
    <n v="1047"/>
    <s v="Karen Martinez"/>
    <x v="1"/>
    <n v="31"/>
    <x v="6"/>
    <x v="21"/>
    <x v="0"/>
    <x v="0"/>
    <x v="0"/>
    <x v="8"/>
    <s v="1 to 5"/>
    <n v="4"/>
    <n v="0"/>
    <n v="1"/>
    <s v="Clinical Advice"/>
    <n v="2.1"/>
    <n v="2"/>
    <n v="5"/>
    <x v="1"/>
    <x v="6"/>
  </r>
  <r>
    <d v="2026-08-03T00:00:00"/>
    <d v="2026-06-04T00:00:00"/>
    <s v="Summit Hill Hospital"/>
    <s v="USA"/>
    <s v="Nevada"/>
    <n v="1048"/>
    <s v="Paul Johnson"/>
    <x v="0"/>
    <n v="53"/>
    <x v="1"/>
    <x v="9"/>
    <x v="1"/>
    <x v="1"/>
    <x v="4"/>
    <x v="5"/>
    <s v="1 to 5"/>
    <n v="3"/>
    <n v="0"/>
    <n v="0"/>
    <s v="Discharged Themselves"/>
    <n v="1.9"/>
    <n v="2"/>
    <n v="3"/>
    <x v="1"/>
    <x v="7"/>
  </r>
  <r>
    <d v="2026-09-03T00:00:00"/>
    <d v="2026-01-05T00:00:00"/>
    <s v="Riverbend Hospital"/>
    <s v="USA"/>
    <s v="Colorado"/>
    <n v="1049"/>
    <s v="Jessica Davis"/>
    <x v="1"/>
    <n v="45"/>
    <x v="1"/>
    <x v="39"/>
    <x v="2"/>
    <x v="0"/>
    <x v="2"/>
    <x v="6"/>
    <s v="1 to 5"/>
    <n v="4"/>
    <n v="1"/>
    <n v="2"/>
    <s v="Clinical Advice"/>
    <n v="2.6"/>
    <n v="3"/>
    <n v="7"/>
    <x v="1"/>
    <x v="8"/>
  </r>
  <r>
    <d v="2026-05-03T00:00:00"/>
    <d v="2026-02-05T00:00:00"/>
    <s v="Lakeside Hospital"/>
    <s v="USA"/>
    <s v="Wyoming"/>
    <n v="1050"/>
    <s v="Eric Brown"/>
    <x v="0"/>
    <n v="60"/>
    <x v="2"/>
    <x v="21"/>
    <x v="5"/>
    <x v="1"/>
    <x v="5"/>
    <x v="2"/>
    <s v="1 to 5"/>
    <n v="2"/>
    <n v="0"/>
    <n v="2"/>
    <s v="Discharged Themselves"/>
    <n v="2.4"/>
    <n v="2"/>
    <n v="4"/>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dataOnRows="1" applyNumberFormats="0" applyBorderFormats="0" applyFontFormats="0" applyPatternFormats="0" applyAlignmentFormats="0" applyWidthHeightFormats="1" dataCaption="Values" updatedVersion="4" minRefreshableVersion="3" rowGrandTotals="0" itemPrintTitles="1" createdVersion="4" indent="0" outline="1" outlineData="1" multipleFieldFilters="0">
  <location ref="G3:H4" firstHeaderRow="1" firstDataRow="1" firstDataCol="1"/>
  <pivotFields count="25">
    <pivotField numFmtId="15" showAll="0"/>
    <pivotField numFmtId="15" showAll="0"/>
    <pivotField showAll="0"/>
    <pivotField showAll="0"/>
    <pivotField showAll="0"/>
    <pivotField showAll="0"/>
    <pivotField showAll="0"/>
    <pivotField showAll="0">
      <items count="3">
        <item x="1"/>
        <item x="0"/>
        <item t="default"/>
      </items>
    </pivotField>
    <pivotField showAll="0"/>
    <pivotField showAll="0"/>
    <pivotField showAll="0"/>
    <pivotField showAll="0" sortType="descending">
      <items count="8">
        <item x="2"/>
        <item x="5"/>
        <item x="4"/>
        <item x="1"/>
        <item x="3"/>
        <item x="6"/>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axis="axisRow" showAll="0" sortType="descending">
      <items count="8">
        <item x="0"/>
        <item x="6"/>
        <item x="1"/>
        <item x="4"/>
        <item x="3"/>
        <item x="5"/>
        <item x="2"/>
        <item t="default"/>
      </items>
      <autoSortScope>
        <pivotArea dataOnly="0" outline="0" fieldPosition="0">
          <references count="1">
            <reference field="4294967294" count="1" selected="0">
              <x v="0"/>
            </reference>
          </references>
        </pivotArea>
      </autoSortScope>
    </pivotField>
    <pivotField showAll="0">
      <items count="13">
        <item h="1" x="7"/>
        <item h="1" x="8"/>
        <item h="1" x="5"/>
        <item x="1"/>
        <item h="1" x="10"/>
        <item h="1" x="2"/>
        <item h="1" x="3"/>
        <item h="1" x="0"/>
        <item h="1" x="9"/>
        <item h="1" x="4"/>
        <item h="1" x="6"/>
        <item h="1" x="11"/>
        <item t="default"/>
      </items>
    </pivotField>
    <pivotField showAll="0"/>
    <pivotField showAll="0"/>
    <pivotField showAll="0"/>
    <pivotField showAll="0"/>
    <pivotField showAll="0"/>
    <pivotField showAll="0"/>
    <pivotField showAll="0"/>
    <pivotField dataField="1" showAll="0"/>
    <pivotField showAll="0">
      <items count="3">
        <item x="0"/>
        <item x="1"/>
        <item t="default"/>
      </items>
    </pivotField>
    <pivotField showAll="0">
      <items count="13">
        <item h="1" x="0"/>
        <item h="1" x="1"/>
        <item h="1" x="2"/>
        <item h="1" x="3"/>
        <item h="1" x="4"/>
        <item h="1" x="5"/>
        <item h="1" x="6"/>
        <item h="1" x="7"/>
        <item h="1" x="8"/>
        <item h="1" x="9"/>
        <item h="1" x="10"/>
        <item x="11"/>
        <item t="default"/>
      </items>
    </pivotField>
  </pivotFields>
  <rowFields count="1">
    <field x="13"/>
  </rowFields>
  <rowItems count="1">
    <i>
      <x v="5"/>
    </i>
  </rowItems>
  <colItems count="1">
    <i/>
  </colItems>
  <dataFields count="1">
    <dataField name=" Total Patients" fld="22" baseField="0" baseItem="0"/>
  </dataFields>
  <formats count="4">
    <format dxfId="3">
      <pivotArea field="7" type="button" dataOnly="0" labelOnly="1" outline="0"/>
    </format>
    <format dxfId="2">
      <pivotArea dataOnly="0" labelOnly="1" outline="0" axis="axisValues" fieldPosition="0"/>
    </format>
    <format dxfId="1">
      <pivotArea grandRow="1" outline="0" collapsedLevelsAreSubtotals="1" fieldPosition="0"/>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dataOnRows="1" applyNumberFormats="0" applyBorderFormats="0" applyFontFormats="0" applyPatternFormats="0" applyAlignmentFormats="0" applyWidthHeightFormats="1" dataCaption="Values" updatedVersion="4" minRefreshableVersion="3" rowGrandTotals="0" itemPrintTitles="1" createdVersion="4" indent="0" outline="1" outlineData="1" multipleFieldFilters="0">
  <location ref="E3:F4" firstHeaderRow="1" firstDataRow="1" firstDataCol="1"/>
  <pivotFields count="25">
    <pivotField numFmtId="15" showAll="0"/>
    <pivotField numFmtId="15" showAll="0"/>
    <pivotField showAll="0"/>
    <pivotField showAll="0"/>
    <pivotField showAll="0"/>
    <pivotField showAll="0"/>
    <pivotField showAll="0"/>
    <pivotField showAll="0">
      <items count="3">
        <item x="1"/>
        <item x="0"/>
        <item t="default"/>
      </items>
    </pivotField>
    <pivotField showAll="0"/>
    <pivotField showAll="0"/>
    <pivotField showAll="0"/>
    <pivotField axis="axisRow" showAll="0" sortType="descending">
      <items count="8">
        <item x="2"/>
        <item x="5"/>
        <item x="4"/>
        <item x="1"/>
        <item x="3"/>
        <item x="6"/>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items count="13">
        <item h="1" x="7"/>
        <item h="1" x="8"/>
        <item h="1" x="5"/>
        <item x="1"/>
        <item h="1" x="10"/>
        <item h="1" x="2"/>
        <item h="1" x="3"/>
        <item h="1" x="0"/>
        <item h="1" x="9"/>
        <item h="1" x="4"/>
        <item h="1" x="6"/>
        <item h="1" x="11"/>
        <item t="default"/>
      </items>
    </pivotField>
    <pivotField showAll="0"/>
    <pivotField showAll="0"/>
    <pivotField showAll="0"/>
    <pivotField showAll="0"/>
    <pivotField showAll="0"/>
    <pivotField showAll="0"/>
    <pivotField showAll="0"/>
    <pivotField dataField="1" showAll="0"/>
    <pivotField showAll="0">
      <items count="3">
        <item x="0"/>
        <item x="1"/>
        <item t="default"/>
      </items>
    </pivotField>
    <pivotField showAll="0">
      <items count="13">
        <item h="1" x="0"/>
        <item h="1" x="1"/>
        <item h="1" x="2"/>
        <item h="1" x="3"/>
        <item h="1" x="4"/>
        <item h="1" x="5"/>
        <item h="1" x="6"/>
        <item h="1" x="7"/>
        <item h="1" x="8"/>
        <item h="1" x="9"/>
        <item h="1" x="10"/>
        <item x="11"/>
        <item t="default"/>
      </items>
    </pivotField>
  </pivotFields>
  <rowFields count="1">
    <field x="11"/>
  </rowFields>
  <rowItems count="1">
    <i>
      <x v="1"/>
    </i>
  </rowItems>
  <colItems count="1">
    <i/>
  </colItems>
  <dataFields count="1">
    <dataField name=" Total Patients" fld="22" baseField="0" baseItem="0"/>
  </dataFields>
  <formats count="4">
    <format dxfId="7">
      <pivotArea field="7" type="button" dataOnly="0" labelOnly="1" outline="0"/>
    </format>
    <format dxfId="6">
      <pivotArea dataOnly="0" labelOnly="1" outline="0" axis="axisValues" fieldPosition="0"/>
    </format>
    <format dxfId="5">
      <pivotArea grandRow="1" outline="0" collapsedLevelsAreSubtotals="1" fieldPosition="0"/>
    </format>
    <format dxfId="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dataOnRows="1"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A3:B8" firstHeaderRow="1" firstDataRow="1" firstDataCol="1"/>
  <pivotFields count="25">
    <pivotField numFmtId="15" showAll="0"/>
    <pivotField numFmtId="15"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items count="13">
        <item h="1" x="7"/>
        <item h="1" x="8"/>
        <item h="1" x="5"/>
        <item x="1"/>
        <item h="1" x="10"/>
        <item h="1" x="2"/>
        <item h="1" x="3"/>
        <item h="1" x="0"/>
        <item h="1" x="9"/>
        <item h="1" x="4"/>
        <item h="1" x="6"/>
        <item h="1" x="11"/>
        <item t="default"/>
      </items>
    </pivotField>
    <pivotField showAll="0"/>
    <pivotField dataField="1" showAll="0"/>
    <pivotField dataField="1" showAll="0"/>
    <pivotField dataField="1" showAll="0"/>
    <pivotField showAll="0"/>
    <pivotField showAll="0"/>
    <pivotField dataField="1" showAll="0"/>
    <pivotField dataField="1" showAll="0"/>
    <pivotField showAll="0">
      <items count="3">
        <item x="0"/>
        <item x="1"/>
        <item t="default"/>
      </items>
    </pivotField>
    <pivotField showAll="0">
      <items count="13">
        <item h="1" x="0"/>
        <item h="1" x="1"/>
        <item h="1" x="2"/>
        <item h="1" x="3"/>
        <item h="1" x="4"/>
        <item h="1" x="5"/>
        <item h="1" x="6"/>
        <item h="1" x="7"/>
        <item h="1" x="8"/>
        <item h="1" x="9"/>
        <item h="1" x="10"/>
        <item x="11"/>
        <item t="default"/>
      </items>
    </pivotField>
  </pivotFields>
  <rowFields count="1">
    <field x="-2"/>
  </rowFields>
  <rowItems count="5">
    <i>
      <x/>
    </i>
    <i i="1">
      <x v="1"/>
    </i>
    <i i="2">
      <x v="2"/>
    </i>
    <i i="3">
      <x v="3"/>
    </i>
    <i i="4">
      <x v="4"/>
    </i>
  </rowItems>
  <colItems count="1">
    <i/>
  </colItems>
  <dataFields count="5">
    <dataField name=" Total Patients" fld="22" baseField="0" baseItem="0"/>
    <dataField name=" Patients in ICU" fld="16" baseField="0" baseItem="0"/>
    <dataField name=" Re-admit Patients" fld="18" baseField="0" baseItem="0"/>
    <dataField name=" Avg Days of Discharge" fld="21" baseField="0" baseItem="0"/>
    <dataField name=" Total Died" fld="17" subtotal="average" baseField="0" baseItem="137005360"/>
  </dataFields>
  <formats count="2">
    <format dxfId="9">
      <pivotArea field="-2" type="button" dataOnly="0" labelOnly="1" outline="0" axis="axisRow" fieldPosition="0"/>
    </format>
    <format dxfId="8">
      <pivotArea collapsedLevelsAreSubtotals="1" fieldPosition="0">
        <references count="1">
          <reference field="429496729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1" cacheId="0" dataOnRows="1"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Q3:R5" firstHeaderRow="1" firstDataRow="1" firstDataCol="1"/>
  <pivotFields count="25">
    <pivotField numFmtId="15" showAll="0"/>
    <pivotField numFmtId="15" showAll="0"/>
    <pivotField showAll="0"/>
    <pivotField showAll="0"/>
    <pivotField showAll="0"/>
    <pivotField showAll="0"/>
    <pivotField showAll="0"/>
    <pivotField showAll="0">
      <items count="3">
        <item x="1"/>
        <item x="0"/>
        <item t="default"/>
      </items>
    </pivotField>
    <pivotField showAll="0"/>
    <pivotField axis="axisRow" showAll="0">
      <items count="8">
        <item x="5"/>
        <item x="4"/>
        <item x="3"/>
        <item x="6"/>
        <item x="0"/>
        <item x="1"/>
        <item x="2"/>
        <item t="default"/>
      </items>
    </pivotField>
    <pivotField showAll="0"/>
    <pivotField showAll="0"/>
    <pivotField showAll="0">
      <items count="3">
        <item x="0"/>
        <item x="1"/>
        <item t="default"/>
      </items>
    </pivotField>
    <pivotField showAll="0"/>
    <pivotField showAll="0">
      <items count="13">
        <item h="1" x="7"/>
        <item h="1" x="8"/>
        <item h="1" x="5"/>
        <item x="1"/>
        <item h="1" x="10"/>
        <item h="1" x="2"/>
        <item h="1" x="3"/>
        <item h="1" x="0"/>
        <item h="1" x="9"/>
        <item h="1" x="4"/>
        <item h="1" x="6"/>
        <item h="1" x="11"/>
        <item t="default"/>
      </items>
    </pivotField>
    <pivotField dataField="1" showAll="0"/>
    <pivotField showAll="0"/>
    <pivotField showAll="0"/>
    <pivotField showAll="0"/>
    <pivotField showAll="0"/>
    <pivotField showAll="0"/>
    <pivotField showAll="0"/>
    <pivotField showAll="0"/>
    <pivotField showAll="0">
      <items count="3">
        <item x="0"/>
        <item x="1"/>
        <item t="default"/>
      </items>
    </pivotField>
    <pivotField showAll="0">
      <items count="13">
        <item h="1" x="0"/>
        <item h="1" x="1"/>
        <item h="1" x="2"/>
        <item h="1" x="3"/>
        <item h="1" x="4"/>
        <item h="1" x="5"/>
        <item h="1" x="6"/>
        <item h="1" x="7"/>
        <item h="1" x="8"/>
        <item h="1" x="9"/>
        <item h="1" x="10"/>
        <item x="11"/>
        <item t="default"/>
      </items>
    </pivotField>
  </pivotFields>
  <rowFields count="1">
    <field x="9"/>
  </rowFields>
  <rowItems count="2">
    <i>
      <x v="4"/>
    </i>
    <i t="grand">
      <x/>
    </i>
  </rowItems>
  <colItems count="1">
    <i/>
  </colItems>
  <dataFields count="1">
    <dataField name=" LOS Bucket " fld="15" subtotal="count" baseField="0" baseItem="0"/>
  </dataFields>
  <formats count="4">
    <format dxfId="13">
      <pivotArea field="7" type="button" dataOnly="0" labelOnly="1" outline="0"/>
    </format>
    <format dxfId="12">
      <pivotArea dataOnly="0" labelOnly="1" outline="0" axis="axisValues" fieldPosition="0"/>
    </format>
    <format dxfId="11">
      <pivotArea grandRow="1" outline="0" collapsedLevelsAreSubtotals="1" fieldPosition="0"/>
    </format>
    <format dxfId="1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dataOnRows="1" applyNumberFormats="0" applyBorderFormats="0" applyFontFormats="0" applyPatternFormats="0" applyAlignmentFormats="0" applyWidthHeightFormats="1" dataCaption="Values" updatedVersion="4" minRefreshableVersion="3" rowGrandTotals="0" itemPrintTitles="1" createdVersion="4" indent="0" outline="1" outlineData="1" multipleFieldFilters="0">
  <location ref="N3:O4" firstHeaderRow="1" firstDataRow="1" firstDataCol="1"/>
  <pivotFields count="25">
    <pivotField numFmtId="15" showAll="0"/>
    <pivotField numFmtId="15"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8">
        <item x="2"/>
        <item x="5"/>
        <item x="4"/>
        <item x="1"/>
        <item x="3"/>
        <item x="6"/>
        <item x="0"/>
        <item t="default"/>
      </items>
    </pivotField>
    <pivotField showAll="0">
      <items count="3">
        <item x="0"/>
        <item x="1"/>
        <item t="default"/>
      </items>
    </pivotField>
    <pivotField axis="axisRow" showAll="0" sortType="descending">
      <items count="8">
        <item x="0"/>
        <item x="6"/>
        <item x="1"/>
        <item x="4"/>
        <item x="3"/>
        <item x="5"/>
        <item x="2"/>
        <item t="default"/>
      </items>
      <autoSortScope>
        <pivotArea dataOnly="0" outline="0" fieldPosition="0">
          <references count="1">
            <reference field="4294967294" count="1" selected="0">
              <x v="0"/>
            </reference>
          </references>
        </pivotArea>
      </autoSortScope>
    </pivotField>
    <pivotField showAll="0">
      <items count="13">
        <item h="1" x="7"/>
        <item h="1" x="8"/>
        <item h="1" x="5"/>
        <item x="1"/>
        <item h="1" x="10"/>
        <item h="1" x="2"/>
        <item h="1" x="3"/>
        <item h="1" x="0"/>
        <item h="1" x="9"/>
        <item h="1" x="4"/>
        <item h="1" x="6"/>
        <item h="1" x="11"/>
        <item t="default"/>
      </items>
    </pivotField>
    <pivotField showAll="0"/>
    <pivotField showAll="0"/>
    <pivotField showAll="0"/>
    <pivotField dataField="1" showAll="0"/>
    <pivotField showAll="0"/>
    <pivotField showAll="0"/>
    <pivotField showAll="0"/>
    <pivotField showAll="0"/>
    <pivotField showAll="0">
      <items count="3">
        <item x="0"/>
        <item x="1"/>
        <item t="default"/>
      </items>
    </pivotField>
    <pivotField showAll="0">
      <items count="13">
        <item h="1" x="0"/>
        <item h="1" x="1"/>
        <item h="1" x="2"/>
        <item h="1" x="3"/>
        <item h="1" x="4"/>
        <item h="1" x="5"/>
        <item h="1" x="6"/>
        <item h="1" x="7"/>
        <item h="1" x="8"/>
        <item h="1" x="9"/>
        <item h="1" x="10"/>
        <item x="11"/>
        <item t="default"/>
      </items>
    </pivotField>
  </pivotFields>
  <rowFields count="1">
    <field x="13"/>
  </rowFields>
  <rowItems count="1">
    <i>
      <x v="5"/>
    </i>
  </rowItems>
  <colItems count="1">
    <i/>
  </colItems>
  <dataFields count="1">
    <dataField name="  Re-admit Patients" fld="18" baseField="0" baseItem="0"/>
  </dataFields>
  <formats count="4">
    <format dxfId="17">
      <pivotArea field="7" type="button" dataOnly="0" labelOnly="1" outline="0"/>
    </format>
    <format dxfId="16">
      <pivotArea dataOnly="0" labelOnly="1" outline="0" axis="axisValues" fieldPosition="0"/>
    </format>
    <format dxfId="15">
      <pivotArea grandRow="1" outline="0" collapsedLevelsAreSubtotals="1" fieldPosition="0"/>
    </format>
    <format dxfId="1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dataOnRows="1"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I3:J5" firstHeaderRow="1" firstDataRow="1" firstDataCol="1"/>
  <pivotFields count="25">
    <pivotField numFmtId="15" showAll="0"/>
    <pivotField numFmtId="15" showAll="0"/>
    <pivotField showAll="0"/>
    <pivotField showAll="0"/>
    <pivotField showAll="0"/>
    <pivotField showAll="0"/>
    <pivotField showAll="0"/>
    <pivotField showAll="0">
      <items count="3">
        <item x="1"/>
        <item x="0"/>
        <item t="default"/>
      </items>
    </pivotField>
    <pivotField showAll="0"/>
    <pivotField showAll="0"/>
    <pivotField axis="axisRow" showAll="0">
      <items count="55">
        <item x="9"/>
        <item x="46"/>
        <item x="13"/>
        <item x="28"/>
        <item x="24"/>
        <item x="52"/>
        <item x="36"/>
        <item x="20"/>
        <item x="38"/>
        <item x="37"/>
        <item x="49"/>
        <item x="31"/>
        <item x="10"/>
        <item x="41"/>
        <item x="25"/>
        <item x="50"/>
        <item x="26"/>
        <item x="40"/>
        <item x="14"/>
        <item x="19"/>
        <item x="27"/>
        <item x="48"/>
        <item x="39"/>
        <item x="51"/>
        <item x="43"/>
        <item x="1"/>
        <item x="3"/>
        <item x="44"/>
        <item x="16"/>
        <item x="47"/>
        <item x="4"/>
        <item x="33"/>
        <item x="8"/>
        <item x="30"/>
        <item x="29"/>
        <item x="0"/>
        <item x="6"/>
        <item x="42"/>
        <item x="17"/>
        <item x="45"/>
        <item x="7"/>
        <item x="12"/>
        <item x="18"/>
        <item x="5"/>
        <item x="53"/>
        <item x="11"/>
        <item x="34"/>
        <item x="23"/>
        <item x="35"/>
        <item x="21"/>
        <item x="22"/>
        <item x="2"/>
        <item x="15"/>
        <item x="32"/>
        <item t="default"/>
      </items>
    </pivotField>
    <pivotField showAll="0"/>
    <pivotField showAll="0">
      <items count="3">
        <item x="0"/>
        <item x="1"/>
        <item t="default"/>
      </items>
    </pivotField>
    <pivotField showAll="0"/>
    <pivotField showAll="0">
      <items count="13">
        <item h="1" x="7"/>
        <item h="1" x="8"/>
        <item h="1" x="5"/>
        <item x="1"/>
        <item h="1" x="10"/>
        <item h="1" x="2"/>
        <item h="1" x="3"/>
        <item h="1" x="0"/>
        <item h="1" x="9"/>
        <item h="1" x="4"/>
        <item h="1" x="6"/>
        <item h="1" x="11"/>
        <item t="default"/>
      </items>
    </pivotField>
    <pivotField showAll="0"/>
    <pivotField showAll="0"/>
    <pivotField showAll="0"/>
    <pivotField showAll="0"/>
    <pivotField showAll="0"/>
    <pivotField showAll="0"/>
    <pivotField showAll="0"/>
    <pivotField dataField="1" showAll="0"/>
    <pivotField showAll="0">
      <items count="3">
        <item x="0"/>
        <item x="1"/>
        <item t="default"/>
      </items>
    </pivotField>
    <pivotField showAll="0">
      <items count="13">
        <item h="1" x="0"/>
        <item h="1" x="1"/>
        <item h="1" x="2"/>
        <item h="1" x="3"/>
        <item h="1" x="4"/>
        <item h="1" x="5"/>
        <item h="1" x="6"/>
        <item h="1" x="7"/>
        <item h="1" x="8"/>
        <item h="1" x="9"/>
        <item h="1" x="10"/>
        <item x="11"/>
        <item t="default"/>
      </items>
    </pivotField>
  </pivotFields>
  <rowFields count="1">
    <field x="10"/>
  </rowFields>
  <rowItems count="2">
    <i>
      <x v="38"/>
    </i>
    <i t="grand">
      <x/>
    </i>
  </rowItems>
  <colItems count="1">
    <i/>
  </colItems>
  <dataFields count="1">
    <dataField name=" Total Patients" fld="22" baseField="0" baseItem="0"/>
  </dataFields>
  <formats count="4">
    <format dxfId="21">
      <pivotArea field="7" type="button" dataOnly="0" labelOnly="1" outline="0"/>
    </format>
    <format dxfId="20">
      <pivotArea dataOnly="0" labelOnly="1" outline="0" axis="axisValues" fieldPosition="0"/>
    </format>
    <format dxfId="19">
      <pivotArea grandRow="1" outline="0" collapsedLevelsAreSubtotals="1" fieldPosition="0"/>
    </format>
    <format dxfId="1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0" dataOnRows="1"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C3:D5" firstHeaderRow="1" firstDataRow="1" firstDataCol="1"/>
  <pivotFields count="25">
    <pivotField numFmtId="15" showAll="0"/>
    <pivotField numFmtId="15"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items count="3">
        <item x="0"/>
        <item x="1"/>
        <item t="default"/>
      </items>
    </pivotField>
    <pivotField showAll="0"/>
    <pivotField showAll="0">
      <items count="13">
        <item h="1" x="7"/>
        <item h="1" x="8"/>
        <item h="1" x="5"/>
        <item x="1"/>
        <item h="1" x="10"/>
        <item h="1" x="2"/>
        <item h="1" x="3"/>
        <item h="1" x="0"/>
        <item h="1" x="9"/>
        <item h="1" x="4"/>
        <item h="1" x="6"/>
        <item h="1" x="11"/>
        <item t="default"/>
      </items>
    </pivotField>
    <pivotField showAll="0"/>
    <pivotField showAll="0"/>
    <pivotField showAll="0"/>
    <pivotField showAll="0"/>
    <pivotField showAll="0"/>
    <pivotField showAll="0"/>
    <pivotField showAll="0"/>
    <pivotField dataField="1" showAll="0"/>
    <pivotField showAll="0">
      <items count="3">
        <item x="0"/>
        <item x="1"/>
        <item t="default"/>
      </items>
    </pivotField>
    <pivotField showAll="0">
      <items count="13">
        <item h="1" x="0"/>
        <item h="1" x="1"/>
        <item h="1" x="2"/>
        <item h="1" x="3"/>
        <item h="1" x="4"/>
        <item h="1" x="5"/>
        <item h="1" x="6"/>
        <item h="1" x="7"/>
        <item h="1" x="8"/>
        <item h="1" x="9"/>
        <item h="1" x="10"/>
        <item x="11"/>
        <item t="default"/>
      </items>
    </pivotField>
  </pivotFields>
  <rowFields count="1">
    <field x="7"/>
  </rowFields>
  <rowItems count="2">
    <i>
      <x v="1"/>
    </i>
    <i t="grand">
      <x/>
    </i>
  </rowItems>
  <colItems count="1">
    <i/>
  </colItems>
  <dataFields count="1">
    <dataField name=" Total Patients" fld="22" baseField="0" baseItem="0"/>
  </dataFields>
  <formats count="4">
    <format dxfId="25">
      <pivotArea field="7" type="button" dataOnly="0" labelOnly="1" outline="0" axis="axisRow" fieldPosition="0"/>
    </format>
    <format dxfId="24">
      <pivotArea dataOnly="0" labelOnly="1" outline="0" axis="axisValues" fieldPosition="0"/>
    </format>
    <format dxfId="23">
      <pivotArea grandRow="1" outline="0" collapsedLevelsAreSubtotals="1" fieldPosition="0"/>
    </format>
    <format dxfId="2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 name="PivotTable6"/>
    <pivotTable tabId="2" name="PivotTable11"/>
    <pivotTable tabId="2" name="PivotTable4"/>
    <pivotTable tabId="2" name="PivotTable5"/>
    <pivotTable tabId="2" name="PivotTable7"/>
    <pivotTable tabId="2" name="PivotTable8"/>
    <pivotTable tabId="2" name="PivotTable9"/>
  </pivotTables>
  <data>
    <tabular pivotCacheId="1">
      <items count="2">
        <i x="1" s="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hysicians" sourceName="Physicians">
  <pivotTables>
    <pivotTable tabId="2" name="PivotTable6"/>
    <pivotTable tabId="2" name="PivotTable11"/>
    <pivotTable tabId="2" name="PivotTable4"/>
    <pivotTable tabId="2" name="PivotTable5"/>
    <pivotTable tabId="2" name="PivotTable7"/>
    <pivotTable tabId="2" name="PivotTable8"/>
    <pivotTable tabId="2" name="PivotTable9"/>
  </pivotTables>
  <data>
    <tabular pivotCacheId="1">
      <items count="12">
        <i x="1" s="1"/>
        <i x="2"/>
        <i x="0"/>
        <i x="11"/>
        <i x="7" nd="1"/>
        <i x="8" nd="1"/>
        <i x="5" nd="1"/>
        <i x="10" nd="1"/>
        <i x="3" nd="1"/>
        <i x="9" nd="1"/>
        <i x="4" nd="1"/>
        <i x="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PivotTable6"/>
    <pivotTable tabId="2" name="PivotTable11"/>
    <pivotTable tabId="2" name="PivotTable4"/>
    <pivotTable tabId="2" name="PivotTable5"/>
    <pivotTable tabId="2" name="PivotTable7"/>
    <pivotTable tabId="2" name="PivotTable8"/>
    <pivotTable tabId="2" name="PivotTable9"/>
  </pivotTables>
  <data>
    <tabular pivotCacheId="1">
      <items count="2">
        <i x="1" s="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PivotTable6"/>
    <pivotTable tabId="2" name="PivotTable11"/>
    <pivotTable tabId="2" name="PivotTable4"/>
    <pivotTable tabId="2" name="PivotTable5"/>
    <pivotTable tabId="2" name="PivotTable7"/>
    <pivotTable tabId="2" name="PivotTable8"/>
    <pivotTable tabId="2" name="PivotTable9"/>
  </pivotTables>
  <data>
    <tabular pivotCacheId="1">
      <items count="12">
        <i x="1"/>
        <i x="2"/>
        <i x="5"/>
        <i x="6"/>
        <i x="11" s="1"/>
        <i x="0" nd="1"/>
        <i x="3" nd="1"/>
        <i x="4" nd="1"/>
        <i x="7" nd="1"/>
        <i x="8" nd="1"/>
        <i x="9" nd="1"/>
        <i x="1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1" cache="Slicer_Department" caption="Department" style="SlicerStyleDark1" rowHeight="241300"/>
  <slicer name="Physicians 1" cache="Slicer_Physicians" caption="Physicians" style="SlicerStyleDark1" rowHeight="241300"/>
  <slicer name="Year 1" cache="Slicer_Year" caption="Year" style="SlicerStyleDark1" rowHeight="241300"/>
  <slicer name="Month 1" cache="Slicer_Month" caption="Month" columnCount="6" style="SlicerStyleDark1" rowHeight="241300"/>
</slicers>
</file>

<file path=xl/tables/table1.xml><?xml version="1.0" encoding="utf-8"?>
<table xmlns="http://schemas.openxmlformats.org/spreadsheetml/2006/main" id="1" name="Table1" displayName="Table1" ref="A1:Y137" totalsRowShown="0" headerRowDxfId="81" dataDxfId="80">
  <autoFilter ref="A1:Y137"/>
  <tableColumns count="25">
    <tableColumn id="1" name="Admission Date" dataDxfId="79" totalsRowDxfId="78"/>
    <tableColumn id="2" name="Discharge Date" dataDxfId="77" totalsRowDxfId="76"/>
    <tableColumn id="3" name="Hospital Name" dataDxfId="75" totalsRowDxfId="74"/>
    <tableColumn id="4" name="Hospital Country" dataDxfId="73" totalsRowDxfId="72"/>
    <tableColumn id="5" name="Hospital State" dataDxfId="71" totalsRowDxfId="70"/>
    <tableColumn id="6" name="Patient ID" dataDxfId="69" totalsRowDxfId="68"/>
    <tableColumn id="7" name="Patient Name" dataDxfId="67" totalsRowDxfId="66"/>
    <tableColumn id="8" name="Gender" dataDxfId="65" totalsRowDxfId="64"/>
    <tableColumn id="9" name="Age" dataDxfId="63" totalsRowDxfId="62"/>
    <tableColumn id="10" name="Age Group" dataDxfId="61" totalsRowDxfId="60"/>
    <tableColumn id="11" name="City" dataDxfId="59" totalsRowDxfId="58"/>
    <tableColumn id="12" name="Division" dataDxfId="57" totalsRowDxfId="56"/>
    <tableColumn id="13" name="Department" dataDxfId="55" totalsRowDxfId="54"/>
    <tableColumn id="14" name="Surgical Specialty" dataDxfId="53" totalsRowDxfId="52"/>
    <tableColumn id="15" name="Physicians" dataDxfId="51" totalsRowDxfId="50"/>
    <tableColumn id="16" name="LOS Bucket (Length of Stay)" dataDxfId="49" totalsRowDxfId="48"/>
    <tableColumn id="17" name="Patients in ICU" dataDxfId="47" totalsRowDxfId="46"/>
    <tableColumn id="18" name="Total Died" dataDxfId="45" totalsRowDxfId="44"/>
    <tableColumn id="19" name="Re-admit Patients" dataDxfId="43" totalsRowDxfId="42"/>
    <tableColumn id="20" name="Discharge Type" dataDxfId="41" totalsRowDxfId="40"/>
    <tableColumn id="21" name="Avg Waiting Time by Division (hrs)" dataDxfId="39" totalsRowDxfId="38"/>
    <tableColumn id="22" name="Avg Days of Discharge" dataDxfId="37" totalsRowDxfId="36"/>
    <tableColumn id="25" name="Total Patients" dataDxfId="35" totalsRowDxfId="34"/>
    <tableColumn id="23" name="Year" dataDxfId="33" totalsRowDxfId="32"/>
    <tableColumn id="24" name="Month" dataDxfId="31" totalsRowDxfId="30"/>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A1:Y10" totalsRowShown="0">
  <autoFilter ref="A1:Y10"/>
  <tableColumns count="25">
    <tableColumn id="1" name="Admission Date" dataDxfId="29"/>
    <tableColumn id="2" name="Discharge Date" dataDxfId="28"/>
    <tableColumn id="3" name="Hospital Name"/>
    <tableColumn id="4" name="Hospital Country"/>
    <tableColumn id="5" name="Hospital State"/>
    <tableColumn id="6" name="Patient ID"/>
    <tableColumn id="7" name="Patient Name"/>
    <tableColumn id="8" name="Gender"/>
    <tableColumn id="9" name="Age"/>
    <tableColumn id="10" name="Age Group"/>
    <tableColumn id="11" name="City"/>
    <tableColumn id="12" name="Division"/>
    <tableColumn id="13" name="Department"/>
    <tableColumn id="14" name="Surgical Specialty"/>
    <tableColumn id="15" name="Physicians"/>
    <tableColumn id="16" name="LOS Bucket (Length of Stay)"/>
    <tableColumn id="17" name="Patients in ICU"/>
    <tableColumn id="18" name="Total Died"/>
    <tableColumn id="19" name="Re-admit Patients"/>
    <tableColumn id="20" name="Discharge Type"/>
    <tableColumn id="21" name="Avg Waiting Time by Division (hrs)"/>
    <tableColumn id="22" name="Avg Days of Discharge"/>
    <tableColumn id="23" name="Total Patients"/>
    <tableColumn id="24" name="Year"/>
    <tableColumn id="25" name="Month"/>
  </tableColumns>
  <tableStyleInfo name="TableStyleMedium2" showFirstColumn="0" showLastColumn="0" showRowStripes="1" showColumnStripes="0"/>
</table>
</file>

<file path=xl/tables/table3.xml><?xml version="1.0" encoding="utf-8"?>
<table xmlns="http://schemas.openxmlformats.org/spreadsheetml/2006/main" id="2" name="Table2" displayName="Table2" ref="A1:Y87" totalsRowShown="0">
  <autoFilter ref="A1:Y87"/>
  <tableColumns count="25">
    <tableColumn id="1" name="Admission Date" dataDxfId="27"/>
    <tableColumn id="2" name="Discharge Date" dataDxfId="26"/>
    <tableColumn id="3" name="Hospital Name"/>
    <tableColumn id="4" name="Hospital Country"/>
    <tableColumn id="5" name="Hospital State"/>
    <tableColumn id="6" name="Patient ID"/>
    <tableColumn id="7" name="Patient Name"/>
    <tableColumn id="8" name="Gender"/>
    <tableColumn id="9" name="Age"/>
    <tableColumn id="10" name="Age Group"/>
    <tableColumn id="11" name="City"/>
    <tableColumn id="12" name="Division"/>
    <tableColumn id="13" name="Department"/>
    <tableColumn id="14" name="Surgical Specialty"/>
    <tableColumn id="15" name="Physicians"/>
    <tableColumn id="16" name="LOS Bucket (Length of Stay)"/>
    <tableColumn id="17" name="Patients in ICU"/>
    <tableColumn id="18" name="Total Died"/>
    <tableColumn id="19" name="Re-admit Patients"/>
    <tableColumn id="20" name="Discharge Type"/>
    <tableColumn id="21" name="Avg Waiting Time by Division (hrs)"/>
    <tableColumn id="22" name="Avg Days of Discharge"/>
    <tableColumn id="23" name="Total Patients"/>
    <tableColumn id="24" name="Year"/>
    <tableColumn id="25"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Y137"/>
  <sheetViews>
    <sheetView topLeftCell="A2" zoomScale="80" zoomScaleNormal="80" workbookViewId="0">
      <selection activeCell="AA10" sqref="AA10"/>
    </sheetView>
  </sheetViews>
  <sheetFormatPr defaultRowHeight="14.25"/>
  <cols>
    <col min="1" max="1" width="10.75" bestFit="1" customWidth="1"/>
  </cols>
  <sheetData>
    <row r="1" spans="1:25" ht="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15">
      <c r="A2" s="2">
        <v>45660</v>
      </c>
      <c r="B2" s="2">
        <v>45780</v>
      </c>
      <c r="C2" s="3" t="s">
        <v>25</v>
      </c>
      <c r="D2" s="3" t="s">
        <v>26</v>
      </c>
      <c r="E2" s="3" t="s">
        <v>27</v>
      </c>
      <c r="F2" s="3">
        <v>1001</v>
      </c>
      <c r="G2" s="3" t="s">
        <v>28</v>
      </c>
      <c r="H2" s="3" t="s">
        <v>29</v>
      </c>
      <c r="I2" s="3">
        <v>45</v>
      </c>
      <c r="J2" s="3" t="s">
        <v>30</v>
      </c>
      <c r="K2" s="3" t="s">
        <v>31</v>
      </c>
      <c r="L2" s="3" t="s">
        <v>32</v>
      </c>
      <c r="M2" s="3" t="s">
        <v>33</v>
      </c>
      <c r="N2" s="3" t="s">
        <v>34</v>
      </c>
      <c r="O2" s="3" t="s">
        <v>35</v>
      </c>
      <c r="P2" s="3" t="s">
        <v>36</v>
      </c>
      <c r="Q2" s="3">
        <v>13</v>
      </c>
      <c r="R2" s="3">
        <v>7</v>
      </c>
      <c r="S2" s="3">
        <v>7</v>
      </c>
      <c r="T2" s="3" t="s">
        <v>37</v>
      </c>
      <c r="U2" s="3">
        <v>2.5</v>
      </c>
      <c r="V2" s="3">
        <v>7</v>
      </c>
      <c r="W2" s="3">
        <v>27</v>
      </c>
      <c r="X2" s="3">
        <v>2025</v>
      </c>
      <c r="Y2" s="3" t="s">
        <v>38</v>
      </c>
    </row>
    <row r="3" spans="1:25" ht="15">
      <c r="A3" s="2">
        <v>45691</v>
      </c>
      <c r="B3" s="2">
        <v>45841</v>
      </c>
      <c r="C3" s="3" t="s">
        <v>39</v>
      </c>
      <c r="D3" s="3" t="s">
        <v>26</v>
      </c>
      <c r="E3" s="3" t="s">
        <v>27</v>
      </c>
      <c r="F3" s="3">
        <v>1002</v>
      </c>
      <c r="G3" s="3" t="s">
        <v>40</v>
      </c>
      <c r="H3" s="3" t="s">
        <v>41</v>
      </c>
      <c r="I3" s="3">
        <v>32</v>
      </c>
      <c r="J3" s="3" t="s">
        <v>30</v>
      </c>
      <c r="K3" s="3" t="s">
        <v>42</v>
      </c>
      <c r="L3" s="3" t="s">
        <v>43</v>
      </c>
      <c r="M3" s="3" t="s">
        <v>44</v>
      </c>
      <c r="N3" s="3" t="s">
        <v>45</v>
      </c>
      <c r="O3" s="3" t="s">
        <v>46</v>
      </c>
      <c r="P3" s="3" t="s">
        <v>47</v>
      </c>
      <c r="Q3" s="3">
        <v>17</v>
      </c>
      <c r="R3" s="3">
        <v>12</v>
      </c>
      <c r="S3" s="3">
        <v>5</v>
      </c>
      <c r="T3" s="3" t="s">
        <v>48</v>
      </c>
      <c r="U3" s="3">
        <v>3</v>
      </c>
      <c r="V3" s="3">
        <v>5</v>
      </c>
      <c r="W3" s="3">
        <v>34</v>
      </c>
      <c r="X3" s="3">
        <v>2025</v>
      </c>
      <c r="Y3" s="3" t="s">
        <v>49</v>
      </c>
    </row>
    <row r="4" spans="1:25" ht="15">
      <c r="A4" s="2">
        <v>45719</v>
      </c>
      <c r="B4" s="2">
        <v>45811</v>
      </c>
      <c r="C4" s="3" t="s">
        <v>50</v>
      </c>
      <c r="D4" s="3" t="s">
        <v>26</v>
      </c>
      <c r="E4" s="3" t="s">
        <v>51</v>
      </c>
      <c r="F4" s="3">
        <v>1003</v>
      </c>
      <c r="G4" s="3" t="s">
        <v>52</v>
      </c>
      <c r="H4" s="3" t="s">
        <v>41</v>
      </c>
      <c r="I4" s="3">
        <v>60</v>
      </c>
      <c r="J4" s="3" t="s">
        <v>53</v>
      </c>
      <c r="K4" s="3" t="s">
        <v>54</v>
      </c>
      <c r="L4" s="3" t="s">
        <v>55</v>
      </c>
      <c r="M4" s="3" t="s">
        <v>33</v>
      </c>
      <c r="N4" s="3" t="s">
        <v>56</v>
      </c>
      <c r="O4" s="3" t="s">
        <v>57</v>
      </c>
      <c r="P4" s="3" t="s">
        <v>36</v>
      </c>
      <c r="Q4" s="3">
        <v>10</v>
      </c>
      <c r="R4" s="3">
        <v>3</v>
      </c>
      <c r="S4" s="3">
        <v>0</v>
      </c>
      <c r="T4" s="3" t="s">
        <v>37</v>
      </c>
      <c r="U4" s="3">
        <v>1.8</v>
      </c>
      <c r="V4" s="3">
        <v>6</v>
      </c>
      <c r="W4" s="3">
        <v>13</v>
      </c>
      <c r="X4" s="3">
        <v>2025</v>
      </c>
      <c r="Y4" s="3" t="s">
        <v>58</v>
      </c>
    </row>
    <row r="5" spans="1:25" ht="15">
      <c r="A5" s="2">
        <v>45750</v>
      </c>
      <c r="B5" s="2">
        <v>45933</v>
      </c>
      <c r="C5" s="3" t="s">
        <v>59</v>
      </c>
      <c r="D5" s="3" t="s">
        <v>26</v>
      </c>
      <c r="E5" s="3" t="s">
        <v>60</v>
      </c>
      <c r="F5" s="3">
        <v>1004</v>
      </c>
      <c r="G5" s="3" t="s">
        <v>61</v>
      </c>
      <c r="H5" s="3" t="s">
        <v>29</v>
      </c>
      <c r="I5" s="3">
        <v>70</v>
      </c>
      <c r="J5" s="3" t="s">
        <v>62</v>
      </c>
      <c r="K5" s="3" t="s">
        <v>63</v>
      </c>
      <c r="L5" s="3" t="s">
        <v>64</v>
      </c>
      <c r="M5" s="3" t="s">
        <v>33</v>
      </c>
      <c r="N5" s="3" t="s">
        <v>64</v>
      </c>
      <c r="O5" s="3" t="s">
        <v>65</v>
      </c>
      <c r="P5" s="3" t="s">
        <v>47</v>
      </c>
      <c r="Q5" s="3">
        <v>8</v>
      </c>
      <c r="R5" s="3">
        <v>2</v>
      </c>
      <c r="S5" s="3">
        <v>2</v>
      </c>
      <c r="T5" s="3" t="s">
        <v>66</v>
      </c>
      <c r="U5" s="3">
        <v>2.1</v>
      </c>
      <c r="V5" s="3">
        <v>8</v>
      </c>
      <c r="W5" s="3">
        <v>12</v>
      </c>
      <c r="X5" s="3">
        <v>2025</v>
      </c>
      <c r="Y5" s="3" t="s">
        <v>67</v>
      </c>
    </row>
    <row r="6" spans="1:25" ht="15">
      <c r="A6" s="2">
        <v>45780</v>
      </c>
      <c r="B6" s="2">
        <v>45964</v>
      </c>
      <c r="C6" s="3" t="s">
        <v>68</v>
      </c>
      <c r="D6" s="3" t="s">
        <v>26</v>
      </c>
      <c r="E6" s="3" t="s">
        <v>27</v>
      </c>
      <c r="F6" s="3">
        <v>1005</v>
      </c>
      <c r="G6" s="3" t="s">
        <v>69</v>
      </c>
      <c r="H6" s="3" t="s">
        <v>29</v>
      </c>
      <c r="I6" s="3">
        <v>38</v>
      </c>
      <c r="J6" s="3" t="s">
        <v>30</v>
      </c>
      <c r="K6" s="3" t="s">
        <v>70</v>
      </c>
      <c r="L6" s="3" t="s">
        <v>71</v>
      </c>
      <c r="M6" s="3" t="s">
        <v>44</v>
      </c>
      <c r="N6" s="3" t="s">
        <v>72</v>
      </c>
      <c r="O6" s="3" t="s">
        <v>73</v>
      </c>
      <c r="P6" s="3" t="s">
        <v>36</v>
      </c>
      <c r="Q6" s="3">
        <v>9</v>
      </c>
      <c r="R6" s="3">
        <v>1</v>
      </c>
      <c r="S6" s="3">
        <v>6</v>
      </c>
      <c r="T6" s="3" t="s">
        <v>37</v>
      </c>
      <c r="U6" s="3">
        <v>2.9</v>
      </c>
      <c r="V6" s="3">
        <v>4</v>
      </c>
      <c r="W6" s="3">
        <v>16</v>
      </c>
      <c r="X6" s="3">
        <v>2025</v>
      </c>
      <c r="Y6" s="3" t="s">
        <v>74</v>
      </c>
    </row>
    <row r="7" spans="1:25" ht="15">
      <c r="A7" s="2">
        <v>45660</v>
      </c>
      <c r="B7" s="2">
        <v>45780</v>
      </c>
      <c r="C7" s="3" t="s">
        <v>25</v>
      </c>
      <c r="D7" s="3" t="s">
        <v>26</v>
      </c>
      <c r="E7" s="3" t="s">
        <v>27</v>
      </c>
      <c r="F7" s="3">
        <v>1001</v>
      </c>
      <c r="G7" s="3" t="s">
        <v>28</v>
      </c>
      <c r="H7" s="3" t="s">
        <v>29</v>
      </c>
      <c r="I7" s="3">
        <v>45</v>
      </c>
      <c r="J7" s="3" t="s">
        <v>30</v>
      </c>
      <c r="K7" s="3" t="s">
        <v>75</v>
      </c>
      <c r="L7" s="3" t="s">
        <v>32</v>
      </c>
      <c r="M7" s="3" t="s">
        <v>33</v>
      </c>
      <c r="N7" s="3" t="s">
        <v>34</v>
      </c>
      <c r="O7" s="3" t="s">
        <v>35</v>
      </c>
      <c r="P7" s="3" t="s">
        <v>36</v>
      </c>
      <c r="Q7" s="3">
        <v>13</v>
      </c>
      <c r="R7" s="3">
        <v>7</v>
      </c>
      <c r="S7" s="3">
        <v>2</v>
      </c>
      <c r="T7" s="3" t="s">
        <v>37</v>
      </c>
      <c r="U7" s="3">
        <v>2.5</v>
      </c>
      <c r="V7" s="3">
        <v>7</v>
      </c>
      <c r="W7" s="3">
        <v>22</v>
      </c>
      <c r="X7" s="3">
        <v>2025</v>
      </c>
      <c r="Y7" s="3" t="s">
        <v>38</v>
      </c>
    </row>
    <row r="8" spans="1:25" ht="15">
      <c r="A8" s="2">
        <v>45691</v>
      </c>
      <c r="B8" s="2">
        <v>45841</v>
      </c>
      <c r="C8" s="3" t="s">
        <v>39</v>
      </c>
      <c r="D8" s="3" t="s">
        <v>26</v>
      </c>
      <c r="E8" s="3" t="s">
        <v>27</v>
      </c>
      <c r="F8" s="3">
        <v>1002</v>
      </c>
      <c r="G8" s="3" t="s">
        <v>40</v>
      </c>
      <c r="H8" s="3" t="s">
        <v>41</v>
      </c>
      <c r="I8" s="3">
        <v>32</v>
      </c>
      <c r="J8" s="3" t="s">
        <v>30</v>
      </c>
      <c r="K8" s="3" t="s">
        <v>42</v>
      </c>
      <c r="L8" s="3" t="s">
        <v>43</v>
      </c>
      <c r="M8" s="3" t="s">
        <v>44</v>
      </c>
      <c r="N8" s="3" t="s">
        <v>45</v>
      </c>
      <c r="O8" s="3" t="s">
        <v>46</v>
      </c>
      <c r="P8" s="3" t="s">
        <v>47</v>
      </c>
      <c r="Q8" s="3">
        <v>17</v>
      </c>
      <c r="R8" s="3">
        <v>12</v>
      </c>
      <c r="S8" s="3">
        <v>0</v>
      </c>
      <c r="T8" s="3" t="s">
        <v>48</v>
      </c>
      <c r="U8" s="3">
        <v>3</v>
      </c>
      <c r="V8" s="3">
        <v>5</v>
      </c>
      <c r="W8" s="3">
        <v>29</v>
      </c>
      <c r="X8" s="3">
        <v>2025</v>
      </c>
      <c r="Y8" s="3" t="s">
        <v>49</v>
      </c>
    </row>
    <row r="9" spans="1:25" ht="15">
      <c r="A9" s="2">
        <v>45719</v>
      </c>
      <c r="B9" s="2">
        <v>45811</v>
      </c>
      <c r="C9" s="3" t="s">
        <v>50</v>
      </c>
      <c r="D9" s="3" t="s">
        <v>26</v>
      </c>
      <c r="E9" s="3" t="s">
        <v>51</v>
      </c>
      <c r="F9" s="3">
        <v>1003</v>
      </c>
      <c r="G9" s="3" t="s">
        <v>52</v>
      </c>
      <c r="H9" s="3" t="s">
        <v>41</v>
      </c>
      <c r="I9" s="3">
        <v>60</v>
      </c>
      <c r="J9" s="3" t="s">
        <v>53</v>
      </c>
      <c r="K9" s="3" t="s">
        <v>76</v>
      </c>
      <c r="L9" s="3" t="s">
        <v>55</v>
      </c>
      <c r="M9" s="3" t="s">
        <v>33</v>
      </c>
      <c r="N9" s="3" t="s">
        <v>56</v>
      </c>
      <c r="O9" s="3" t="s">
        <v>57</v>
      </c>
      <c r="P9" s="3" t="s">
        <v>36</v>
      </c>
      <c r="Q9" s="3">
        <v>10</v>
      </c>
      <c r="R9" s="3">
        <v>3</v>
      </c>
      <c r="S9" s="3">
        <v>3</v>
      </c>
      <c r="T9" s="3" t="s">
        <v>37</v>
      </c>
      <c r="U9" s="3">
        <v>1.8</v>
      </c>
      <c r="V9" s="3">
        <v>6</v>
      </c>
      <c r="W9" s="3">
        <v>16</v>
      </c>
      <c r="X9" s="3">
        <v>2025</v>
      </c>
      <c r="Y9" s="3" t="s">
        <v>58</v>
      </c>
    </row>
    <row r="10" spans="1:25" ht="15">
      <c r="A10" s="2">
        <v>45750</v>
      </c>
      <c r="B10" s="2">
        <v>45933</v>
      </c>
      <c r="C10" s="3" t="s">
        <v>59</v>
      </c>
      <c r="D10" s="3" t="s">
        <v>26</v>
      </c>
      <c r="E10" s="3" t="s">
        <v>60</v>
      </c>
      <c r="F10" s="3">
        <v>1004</v>
      </c>
      <c r="G10" s="3" t="s">
        <v>61</v>
      </c>
      <c r="H10" s="3" t="s">
        <v>29</v>
      </c>
      <c r="I10" s="3">
        <v>70</v>
      </c>
      <c r="J10" s="3" t="s">
        <v>62</v>
      </c>
      <c r="K10" s="3" t="s">
        <v>77</v>
      </c>
      <c r="L10" s="3" t="s">
        <v>64</v>
      </c>
      <c r="M10" s="3" t="s">
        <v>33</v>
      </c>
      <c r="N10" s="3" t="s">
        <v>64</v>
      </c>
      <c r="O10" s="3" t="s">
        <v>65</v>
      </c>
      <c r="P10" s="3" t="s">
        <v>47</v>
      </c>
      <c r="Q10" s="3">
        <v>8</v>
      </c>
      <c r="R10" s="3">
        <v>2</v>
      </c>
      <c r="S10" s="3">
        <v>6</v>
      </c>
      <c r="T10" s="3" t="s">
        <v>66</v>
      </c>
      <c r="U10" s="3">
        <v>2.1</v>
      </c>
      <c r="V10" s="3">
        <v>8</v>
      </c>
      <c r="W10" s="3">
        <v>16</v>
      </c>
      <c r="X10" s="3">
        <v>2025</v>
      </c>
      <c r="Y10" s="3" t="s">
        <v>67</v>
      </c>
    </row>
    <row r="11" spans="1:25" ht="15">
      <c r="A11" s="2">
        <v>45780</v>
      </c>
      <c r="B11" s="2">
        <v>45964</v>
      </c>
      <c r="C11" s="3" t="s">
        <v>68</v>
      </c>
      <c r="D11" s="3" t="s">
        <v>26</v>
      </c>
      <c r="E11" s="3" t="s">
        <v>27</v>
      </c>
      <c r="F11" s="3">
        <v>1005</v>
      </c>
      <c r="G11" s="3" t="s">
        <v>69</v>
      </c>
      <c r="H11" s="3" t="s">
        <v>41</v>
      </c>
      <c r="I11" s="3">
        <v>38</v>
      </c>
      <c r="J11" s="3" t="s">
        <v>30</v>
      </c>
      <c r="K11" s="3" t="s">
        <v>78</v>
      </c>
      <c r="L11" s="3" t="s">
        <v>71</v>
      </c>
      <c r="M11" s="3" t="s">
        <v>44</v>
      </c>
      <c r="N11" s="3" t="s">
        <v>72</v>
      </c>
      <c r="O11" s="3" t="s">
        <v>73</v>
      </c>
      <c r="P11" s="3" t="s">
        <v>36</v>
      </c>
      <c r="Q11" s="3">
        <v>9</v>
      </c>
      <c r="R11" s="3">
        <v>1</v>
      </c>
      <c r="S11" s="3">
        <v>1</v>
      </c>
      <c r="T11" s="3" t="s">
        <v>37</v>
      </c>
      <c r="U11" s="3">
        <v>2.9</v>
      </c>
      <c r="V11" s="3">
        <v>4</v>
      </c>
      <c r="W11" s="3">
        <v>11</v>
      </c>
      <c r="X11" s="3">
        <v>2025</v>
      </c>
      <c r="Y11" s="3" t="s">
        <v>74</v>
      </c>
    </row>
    <row r="12" spans="1:25" ht="15">
      <c r="A12" s="2">
        <v>45811</v>
      </c>
      <c r="B12" s="2">
        <v>45994</v>
      </c>
      <c r="C12" s="3" t="s">
        <v>79</v>
      </c>
      <c r="D12" s="3" t="s">
        <v>26</v>
      </c>
      <c r="E12" s="3" t="s">
        <v>80</v>
      </c>
      <c r="F12" s="3">
        <v>1006</v>
      </c>
      <c r="G12" s="3" t="s">
        <v>81</v>
      </c>
      <c r="H12" s="3" t="s">
        <v>29</v>
      </c>
      <c r="I12" s="3">
        <v>25</v>
      </c>
      <c r="J12" s="3" t="s">
        <v>82</v>
      </c>
      <c r="K12" s="3" t="s">
        <v>83</v>
      </c>
      <c r="L12" s="3" t="s">
        <v>84</v>
      </c>
      <c r="M12" s="3" t="s">
        <v>33</v>
      </c>
      <c r="N12" s="3" t="s">
        <v>85</v>
      </c>
      <c r="O12" s="3" t="s">
        <v>86</v>
      </c>
      <c r="P12" s="3" t="s">
        <v>36</v>
      </c>
      <c r="Q12" s="3">
        <v>5</v>
      </c>
      <c r="R12" s="3">
        <v>0</v>
      </c>
      <c r="S12" s="3">
        <v>0</v>
      </c>
      <c r="T12" s="3" t="s">
        <v>37</v>
      </c>
      <c r="U12" s="3">
        <v>1.5</v>
      </c>
      <c r="V12" s="3">
        <v>3</v>
      </c>
      <c r="W12" s="3">
        <v>5</v>
      </c>
      <c r="X12" s="3">
        <v>2025</v>
      </c>
      <c r="Y12" s="3" t="s">
        <v>87</v>
      </c>
    </row>
    <row r="13" spans="1:25" ht="15">
      <c r="A13" s="2">
        <v>45841</v>
      </c>
      <c r="B13" s="2">
        <v>46084</v>
      </c>
      <c r="C13" s="3" t="s">
        <v>88</v>
      </c>
      <c r="D13" s="3" t="s">
        <v>26</v>
      </c>
      <c r="E13" s="3" t="s">
        <v>89</v>
      </c>
      <c r="F13" s="3">
        <v>1007</v>
      </c>
      <c r="G13" s="3" t="s">
        <v>90</v>
      </c>
      <c r="H13" s="3" t="s">
        <v>29</v>
      </c>
      <c r="I13" s="3">
        <v>18</v>
      </c>
      <c r="J13" s="3" t="s">
        <v>91</v>
      </c>
      <c r="K13" s="3" t="s">
        <v>92</v>
      </c>
      <c r="L13" s="3" t="s">
        <v>93</v>
      </c>
      <c r="M13" s="3" t="s">
        <v>44</v>
      </c>
      <c r="N13" s="3" t="s">
        <v>45</v>
      </c>
      <c r="O13" s="3" t="s">
        <v>94</v>
      </c>
      <c r="P13" s="3" t="s">
        <v>36</v>
      </c>
      <c r="Q13" s="3">
        <v>2</v>
      </c>
      <c r="R13" s="3">
        <v>0</v>
      </c>
      <c r="S13" s="3">
        <v>1</v>
      </c>
      <c r="T13" s="3" t="s">
        <v>48</v>
      </c>
      <c r="U13" s="3">
        <v>1</v>
      </c>
      <c r="V13" s="3">
        <v>1</v>
      </c>
      <c r="W13" s="3">
        <v>3</v>
      </c>
      <c r="X13" s="3">
        <v>2025</v>
      </c>
      <c r="Y13" s="3" t="s">
        <v>95</v>
      </c>
    </row>
    <row r="14" spans="1:25" ht="15">
      <c r="A14" s="2">
        <v>45872</v>
      </c>
      <c r="B14" s="2">
        <v>46237</v>
      </c>
      <c r="C14" s="3" t="s">
        <v>96</v>
      </c>
      <c r="D14" s="3" t="s">
        <v>26</v>
      </c>
      <c r="E14" s="3" t="s">
        <v>97</v>
      </c>
      <c r="F14" s="3">
        <v>1008</v>
      </c>
      <c r="G14" s="3" t="s">
        <v>98</v>
      </c>
      <c r="H14" s="3" t="s">
        <v>29</v>
      </c>
      <c r="I14" s="3">
        <v>12</v>
      </c>
      <c r="J14" s="3" t="s">
        <v>99</v>
      </c>
      <c r="K14" s="3" t="s">
        <v>100</v>
      </c>
      <c r="L14" s="3" t="s">
        <v>93</v>
      </c>
      <c r="M14" s="3" t="s">
        <v>33</v>
      </c>
      <c r="N14" s="3" t="s">
        <v>101</v>
      </c>
      <c r="O14" s="3" t="s">
        <v>102</v>
      </c>
      <c r="P14" s="3" t="s">
        <v>47</v>
      </c>
      <c r="Q14" s="3">
        <v>1</v>
      </c>
      <c r="R14" s="3">
        <v>0</v>
      </c>
      <c r="S14" s="3">
        <v>2</v>
      </c>
      <c r="T14" s="3" t="s">
        <v>37</v>
      </c>
      <c r="U14" s="3">
        <v>2.2000000000000002</v>
      </c>
      <c r="V14" s="3">
        <v>2</v>
      </c>
      <c r="W14" s="3">
        <v>3</v>
      </c>
      <c r="X14" s="3">
        <v>2025</v>
      </c>
      <c r="Y14" s="3" t="s">
        <v>103</v>
      </c>
    </row>
    <row r="15" spans="1:25" ht="15">
      <c r="A15" s="2">
        <v>45903</v>
      </c>
      <c r="B15" s="2">
        <v>46176</v>
      </c>
      <c r="C15" s="3" t="s">
        <v>104</v>
      </c>
      <c r="D15" s="3" t="s">
        <v>26</v>
      </c>
      <c r="E15" s="3" t="s">
        <v>105</v>
      </c>
      <c r="F15" s="3">
        <v>1009</v>
      </c>
      <c r="G15" s="3" t="s">
        <v>106</v>
      </c>
      <c r="H15" s="3" t="s">
        <v>41</v>
      </c>
      <c r="I15" s="3">
        <v>29</v>
      </c>
      <c r="J15" s="3" t="s">
        <v>107</v>
      </c>
      <c r="K15" s="3" t="s">
        <v>108</v>
      </c>
      <c r="L15" s="3" t="s">
        <v>32</v>
      </c>
      <c r="M15" s="3" t="s">
        <v>44</v>
      </c>
      <c r="N15" s="3" t="s">
        <v>34</v>
      </c>
      <c r="O15" s="3" t="s">
        <v>109</v>
      </c>
      <c r="P15" s="3" t="s">
        <v>36</v>
      </c>
      <c r="Q15" s="3">
        <v>4</v>
      </c>
      <c r="R15" s="3">
        <v>0</v>
      </c>
      <c r="S15" s="3">
        <v>1</v>
      </c>
      <c r="T15" s="3" t="s">
        <v>48</v>
      </c>
      <c r="U15" s="3">
        <v>1.8</v>
      </c>
      <c r="V15" s="3">
        <v>3</v>
      </c>
      <c r="W15" s="3">
        <v>5</v>
      </c>
      <c r="X15" s="3">
        <v>2025</v>
      </c>
      <c r="Y15" s="3" t="s">
        <v>110</v>
      </c>
    </row>
    <row r="16" spans="1:25" ht="15">
      <c r="A16" s="2">
        <v>45933</v>
      </c>
      <c r="B16" s="2">
        <v>46298</v>
      </c>
      <c r="C16" s="3" t="s">
        <v>111</v>
      </c>
      <c r="D16" s="3" t="s">
        <v>26</v>
      </c>
      <c r="E16" s="3" t="s">
        <v>112</v>
      </c>
      <c r="F16" s="3">
        <v>1010</v>
      </c>
      <c r="G16" s="3" t="s">
        <v>113</v>
      </c>
      <c r="H16" s="3" t="s">
        <v>29</v>
      </c>
      <c r="I16" s="3">
        <v>15</v>
      </c>
      <c r="J16" s="3" t="s">
        <v>99</v>
      </c>
      <c r="K16" s="3" t="s">
        <v>114</v>
      </c>
      <c r="L16" s="3" t="s">
        <v>43</v>
      </c>
      <c r="M16" s="3" t="s">
        <v>33</v>
      </c>
      <c r="N16" s="3" t="s">
        <v>45</v>
      </c>
      <c r="O16" s="3" t="s">
        <v>115</v>
      </c>
      <c r="P16" s="3" t="s">
        <v>36</v>
      </c>
      <c r="Q16" s="3">
        <v>3</v>
      </c>
      <c r="R16" s="3">
        <v>0</v>
      </c>
      <c r="S16" s="3">
        <v>0</v>
      </c>
      <c r="T16" s="3" t="s">
        <v>37</v>
      </c>
      <c r="U16" s="3">
        <v>2.5</v>
      </c>
      <c r="V16" s="3">
        <v>3</v>
      </c>
      <c r="W16" s="3">
        <v>3</v>
      </c>
      <c r="X16" s="3">
        <v>2025</v>
      </c>
      <c r="Y16" s="3" t="s">
        <v>116</v>
      </c>
    </row>
    <row r="17" spans="1:25" ht="15">
      <c r="A17" s="2">
        <v>45660</v>
      </c>
      <c r="B17" s="2">
        <v>45780</v>
      </c>
      <c r="C17" s="3" t="s">
        <v>25</v>
      </c>
      <c r="D17" s="3" t="s">
        <v>26</v>
      </c>
      <c r="E17" s="3" t="s">
        <v>27</v>
      </c>
      <c r="F17" s="3">
        <v>1001</v>
      </c>
      <c r="G17" s="3" t="s">
        <v>28</v>
      </c>
      <c r="H17" s="3" t="s">
        <v>29</v>
      </c>
      <c r="I17" s="3">
        <v>45</v>
      </c>
      <c r="J17" s="3" t="s">
        <v>30</v>
      </c>
      <c r="K17" s="3" t="s">
        <v>117</v>
      </c>
      <c r="L17" s="3" t="s">
        <v>32</v>
      </c>
      <c r="M17" s="3" t="s">
        <v>33</v>
      </c>
      <c r="N17" s="3" t="s">
        <v>34</v>
      </c>
      <c r="O17" s="3" t="s">
        <v>35</v>
      </c>
      <c r="P17" s="3" t="s">
        <v>36</v>
      </c>
      <c r="Q17" s="3">
        <v>13</v>
      </c>
      <c r="R17" s="3">
        <v>7</v>
      </c>
      <c r="S17" s="3">
        <v>3</v>
      </c>
      <c r="T17" s="3" t="s">
        <v>37</v>
      </c>
      <c r="U17" s="3">
        <v>2.5</v>
      </c>
      <c r="V17" s="3">
        <v>7</v>
      </c>
      <c r="W17" s="3">
        <v>23</v>
      </c>
      <c r="X17" s="3">
        <v>2025</v>
      </c>
      <c r="Y17" s="3" t="s">
        <v>38</v>
      </c>
    </row>
    <row r="18" spans="1:25" ht="15">
      <c r="A18" s="2">
        <v>45691</v>
      </c>
      <c r="B18" s="2">
        <v>45841</v>
      </c>
      <c r="C18" s="3" t="s">
        <v>39</v>
      </c>
      <c r="D18" s="3" t="s">
        <v>26</v>
      </c>
      <c r="E18" s="3" t="s">
        <v>27</v>
      </c>
      <c r="F18" s="3">
        <v>1002</v>
      </c>
      <c r="G18" s="3" t="s">
        <v>40</v>
      </c>
      <c r="H18" s="3" t="s">
        <v>41</v>
      </c>
      <c r="I18" s="3">
        <v>32</v>
      </c>
      <c r="J18" s="3" t="s">
        <v>30</v>
      </c>
      <c r="K18" s="3" t="s">
        <v>118</v>
      </c>
      <c r="L18" s="3" t="s">
        <v>43</v>
      </c>
      <c r="M18" s="3" t="s">
        <v>44</v>
      </c>
      <c r="N18" s="3" t="s">
        <v>45</v>
      </c>
      <c r="O18" s="3" t="s">
        <v>46</v>
      </c>
      <c r="P18" s="3" t="s">
        <v>47</v>
      </c>
      <c r="Q18" s="3">
        <v>17</v>
      </c>
      <c r="R18" s="3">
        <v>12</v>
      </c>
      <c r="S18" s="3">
        <v>1</v>
      </c>
      <c r="T18" s="3" t="s">
        <v>48</v>
      </c>
      <c r="U18" s="3">
        <v>3</v>
      </c>
      <c r="V18" s="3">
        <v>5</v>
      </c>
      <c r="W18" s="3">
        <v>30</v>
      </c>
      <c r="X18" s="3">
        <v>2025</v>
      </c>
      <c r="Y18" s="3" t="s">
        <v>49</v>
      </c>
    </row>
    <row r="19" spans="1:25" ht="15">
      <c r="A19" s="2">
        <v>45719</v>
      </c>
      <c r="B19" s="2">
        <v>45811</v>
      </c>
      <c r="C19" s="3" t="s">
        <v>50</v>
      </c>
      <c r="D19" s="3" t="s">
        <v>26</v>
      </c>
      <c r="E19" s="3" t="s">
        <v>51</v>
      </c>
      <c r="F19" s="3">
        <v>1003</v>
      </c>
      <c r="G19" s="3" t="s">
        <v>52</v>
      </c>
      <c r="H19" s="3" t="s">
        <v>29</v>
      </c>
      <c r="I19" s="3">
        <v>60</v>
      </c>
      <c r="J19" s="3" t="s">
        <v>53</v>
      </c>
      <c r="K19" s="3" t="s">
        <v>119</v>
      </c>
      <c r="L19" s="3" t="s">
        <v>55</v>
      </c>
      <c r="M19" s="3" t="s">
        <v>33</v>
      </c>
      <c r="N19" s="3" t="s">
        <v>56</v>
      </c>
      <c r="O19" s="3" t="s">
        <v>57</v>
      </c>
      <c r="P19" s="3" t="s">
        <v>36</v>
      </c>
      <c r="Q19" s="3">
        <v>10</v>
      </c>
      <c r="R19" s="3">
        <v>3</v>
      </c>
      <c r="S19" s="3">
        <v>4</v>
      </c>
      <c r="T19" s="3" t="s">
        <v>37</v>
      </c>
      <c r="U19" s="3">
        <v>1.8</v>
      </c>
      <c r="V19" s="3">
        <v>6</v>
      </c>
      <c r="W19" s="3">
        <v>17</v>
      </c>
      <c r="X19" s="3">
        <v>2025</v>
      </c>
      <c r="Y19" s="3" t="s">
        <v>58</v>
      </c>
    </row>
    <row r="20" spans="1:25" ht="15">
      <c r="A20" s="2">
        <v>45750</v>
      </c>
      <c r="B20" s="2">
        <v>45933</v>
      </c>
      <c r="C20" s="3" t="s">
        <v>59</v>
      </c>
      <c r="D20" s="3" t="s">
        <v>26</v>
      </c>
      <c r="E20" s="3" t="s">
        <v>60</v>
      </c>
      <c r="F20" s="3">
        <v>1004</v>
      </c>
      <c r="G20" s="3" t="s">
        <v>61</v>
      </c>
      <c r="H20" s="3" t="s">
        <v>29</v>
      </c>
      <c r="I20" s="3">
        <v>70</v>
      </c>
      <c r="J20" s="3" t="s">
        <v>62</v>
      </c>
      <c r="K20" s="3" t="s">
        <v>120</v>
      </c>
      <c r="L20" s="3" t="s">
        <v>64</v>
      </c>
      <c r="M20" s="3" t="s">
        <v>33</v>
      </c>
      <c r="N20" s="3" t="s">
        <v>64</v>
      </c>
      <c r="O20" s="3" t="s">
        <v>65</v>
      </c>
      <c r="P20" s="3" t="s">
        <v>47</v>
      </c>
      <c r="Q20" s="3">
        <v>8</v>
      </c>
      <c r="R20" s="3">
        <v>2</v>
      </c>
      <c r="S20" s="3">
        <v>11</v>
      </c>
      <c r="T20" s="3" t="s">
        <v>66</v>
      </c>
      <c r="U20" s="3">
        <v>2.1</v>
      </c>
      <c r="V20" s="3">
        <v>8</v>
      </c>
      <c r="W20" s="3">
        <v>21</v>
      </c>
      <c r="X20" s="3">
        <v>2025</v>
      </c>
      <c r="Y20" s="3" t="s">
        <v>67</v>
      </c>
    </row>
    <row r="21" spans="1:25" ht="15">
      <c r="A21" s="2">
        <v>45780</v>
      </c>
      <c r="B21" s="2">
        <v>45964</v>
      </c>
      <c r="C21" s="3" t="s">
        <v>68</v>
      </c>
      <c r="D21" s="3" t="s">
        <v>26</v>
      </c>
      <c r="E21" s="3" t="s">
        <v>27</v>
      </c>
      <c r="F21" s="3">
        <v>1005</v>
      </c>
      <c r="G21" s="3" t="s">
        <v>69</v>
      </c>
      <c r="H21" s="3" t="s">
        <v>41</v>
      </c>
      <c r="I21" s="3">
        <v>38</v>
      </c>
      <c r="J21" s="3" t="s">
        <v>30</v>
      </c>
      <c r="K21" s="3" t="s">
        <v>120</v>
      </c>
      <c r="L21" s="3" t="s">
        <v>71</v>
      </c>
      <c r="M21" s="3" t="s">
        <v>44</v>
      </c>
      <c r="N21" s="3" t="s">
        <v>72</v>
      </c>
      <c r="O21" s="3" t="s">
        <v>73</v>
      </c>
      <c r="P21" s="3" t="s">
        <v>36</v>
      </c>
      <c r="Q21" s="3">
        <v>9</v>
      </c>
      <c r="R21" s="3">
        <v>1</v>
      </c>
      <c r="S21" s="3">
        <v>13</v>
      </c>
      <c r="T21" s="3" t="s">
        <v>37</v>
      </c>
      <c r="U21" s="3">
        <v>2.9</v>
      </c>
      <c r="V21" s="3">
        <v>4</v>
      </c>
      <c r="W21" s="3">
        <v>23</v>
      </c>
      <c r="X21" s="3">
        <v>2025</v>
      </c>
      <c r="Y21" s="3" t="s">
        <v>74</v>
      </c>
    </row>
    <row r="22" spans="1:25" ht="15">
      <c r="A22" s="2">
        <v>45811</v>
      </c>
      <c r="B22" s="2">
        <v>45994</v>
      </c>
      <c r="C22" s="3" t="s">
        <v>79</v>
      </c>
      <c r="D22" s="3" t="s">
        <v>26</v>
      </c>
      <c r="E22" s="3" t="s">
        <v>80</v>
      </c>
      <c r="F22" s="3">
        <v>1006</v>
      </c>
      <c r="G22" s="3" t="s">
        <v>81</v>
      </c>
      <c r="H22" s="3" t="s">
        <v>29</v>
      </c>
      <c r="I22" s="3">
        <v>25</v>
      </c>
      <c r="J22" s="3" t="s">
        <v>82</v>
      </c>
      <c r="K22" s="3" t="s">
        <v>120</v>
      </c>
      <c r="L22" s="3" t="s">
        <v>84</v>
      </c>
      <c r="M22" s="3" t="s">
        <v>33</v>
      </c>
      <c r="N22" s="3" t="s">
        <v>85</v>
      </c>
      <c r="O22" s="3" t="s">
        <v>86</v>
      </c>
      <c r="P22" s="3" t="s">
        <v>36</v>
      </c>
      <c r="Q22" s="3">
        <v>5</v>
      </c>
      <c r="R22" s="3">
        <v>0</v>
      </c>
      <c r="S22" s="3">
        <v>11</v>
      </c>
      <c r="T22" s="3" t="s">
        <v>37</v>
      </c>
      <c r="U22" s="3">
        <v>1.5</v>
      </c>
      <c r="V22" s="3">
        <v>3</v>
      </c>
      <c r="W22" s="3">
        <v>16</v>
      </c>
      <c r="X22" s="3">
        <v>2025</v>
      </c>
      <c r="Y22" s="3" t="s">
        <v>87</v>
      </c>
    </row>
    <row r="23" spans="1:25" ht="15">
      <c r="A23" s="2">
        <v>45841</v>
      </c>
      <c r="B23" s="2">
        <v>46084</v>
      </c>
      <c r="C23" s="3" t="s">
        <v>88</v>
      </c>
      <c r="D23" s="3" t="s">
        <v>26</v>
      </c>
      <c r="E23" s="3" t="s">
        <v>89</v>
      </c>
      <c r="F23" s="3">
        <v>1007</v>
      </c>
      <c r="G23" s="3" t="s">
        <v>90</v>
      </c>
      <c r="H23" s="3" t="s">
        <v>41</v>
      </c>
      <c r="I23" s="3">
        <v>18</v>
      </c>
      <c r="J23" s="3" t="s">
        <v>91</v>
      </c>
      <c r="K23" s="3" t="s">
        <v>120</v>
      </c>
      <c r="L23" s="3" t="s">
        <v>93</v>
      </c>
      <c r="M23" s="3" t="s">
        <v>44</v>
      </c>
      <c r="N23" s="3" t="s">
        <v>45</v>
      </c>
      <c r="O23" s="3" t="s">
        <v>94</v>
      </c>
      <c r="P23" s="3" t="s">
        <v>36</v>
      </c>
      <c r="Q23" s="3">
        <v>2</v>
      </c>
      <c r="R23" s="3">
        <v>0</v>
      </c>
      <c r="S23" s="3">
        <v>14</v>
      </c>
      <c r="T23" s="3" t="s">
        <v>48</v>
      </c>
      <c r="U23" s="3">
        <v>1</v>
      </c>
      <c r="V23" s="3">
        <v>1</v>
      </c>
      <c r="W23" s="3">
        <v>16</v>
      </c>
      <c r="X23" s="3">
        <v>2025</v>
      </c>
      <c r="Y23" s="3" t="s">
        <v>95</v>
      </c>
    </row>
    <row r="24" spans="1:25" ht="15">
      <c r="A24" s="2">
        <v>45872</v>
      </c>
      <c r="B24" s="2">
        <v>46237</v>
      </c>
      <c r="C24" s="3" t="s">
        <v>96</v>
      </c>
      <c r="D24" s="3" t="s">
        <v>26</v>
      </c>
      <c r="E24" s="3" t="s">
        <v>97</v>
      </c>
      <c r="F24" s="3">
        <v>1008</v>
      </c>
      <c r="G24" s="3" t="s">
        <v>98</v>
      </c>
      <c r="H24" s="3" t="s">
        <v>29</v>
      </c>
      <c r="I24" s="3">
        <v>12</v>
      </c>
      <c r="J24" s="3" t="s">
        <v>99</v>
      </c>
      <c r="K24" s="3" t="s">
        <v>120</v>
      </c>
      <c r="L24" s="3" t="s">
        <v>93</v>
      </c>
      <c r="M24" s="3" t="s">
        <v>33</v>
      </c>
      <c r="N24" s="3" t="s">
        <v>101</v>
      </c>
      <c r="O24" s="3" t="s">
        <v>102</v>
      </c>
      <c r="P24" s="3" t="s">
        <v>47</v>
      </c>
      <c r="Q24" s="3">
        <v>1</v>
      </c>
      <c r="R24" s="3">
        <v>0</v>
      </c>
      <c r="S24" s="3">
        <v>15</v>
      </c>
      <c r="T24" s="3" t="s">
        <v>37</v>
      </c>
      <c r="U24" s="3">
        <v>2.2000000000000002</v>
      </c>
      <c r="V24" s="3">
        <v>2</v>
      </c>
      <c r="W24" s="3">
        <v>16</v>
      </c>
      <c r="X24" s="3">
        <v>2025</v>
      </c>
      <c r="Y24" s="3" t="s">
        <v>103</v>
      </c>
    </row>
    <row r="25" spans="1:25" ht="15">
      <c r="A25" s="2">
        <v>45903</v>
      </c>
      <c r="B25" s="2">
        <v>46176</v>
      </c>
      <c r="C25" s="3" t="s">
        <v>104</v>
      </c>
      <c r="D25" s="3" t="s">
        <v>26</v>
      </c>
      <c r="E25" s="3" t="s">
        <v>105</v>
      </c>
      <c r="F25" s="3">
        <v>1009</v>
      </c>
      <c r="G25" s="3" t="s">
        <v>106</v>
      </c>
      <c r="H25" s="3" t="s">
        <v>29</v>
      </c>
      <c r="I25" s="3">
        <v>29</v>
      </c>
      <c r="J25" s="3" t="s">
        <v>107</v>
      </c>
      <c r="K25" s="3" t="s">
        <v>118</v>
      </c>
      <c r="L25" s="3" t="s">
        <v>32</v>
      </c>
      <c r="M25" s="3" t="s">
        <v>44</v>
      </c>
      <c r="N25" s="3" t="s">
        <v>34</v>
      </c>
      <c r="O25" s="3" t="s">
        <v>109</v>
      </c>
      <c r="P25" s="3" t="s">
        <v>36</v>
      </c>
      <c r="Q25" s="3">
        <v>4</v>
      </c>
      <c r="R25" s="3">
        <v>0</v>
      </c>
      <c r="S25" s="3">
        <v>6</v>
      </c>
      <c r="T25" s="3" t="s">
        <v>48</v>
      </c>
      <c r="U25" s="3">
        <v>1.8</v>
      </c>
      <c r="V25" s="3">
        <v>3</v>
      </c>
      <c r="W25" s="3">
        <v>10</v>
      </c>
      <c r="X25" s="3">
        <v>2025</v>
      </c>
      <c r="Y25" s="3" t="s">
        <v>110</v>
      </c>
    </row>
    <row r="26" spans="1:25" ht="15">
      <c r="A26" s="2">
        <v>45933</v>
      </c>
      <c r="B26" s="2">
        <v>46298</v>
      </c>
      <c r="C26" s="3" t="s">
        <v>111</v>
      </c>
      <c r="D26" s="3" t="s">
        <v>26</v>
      </c>
      <c r="E26" s="3" t="s">
        <v>112</v>
      </c>
      <c r="F26" s="3">
        <v>1010</v>
      </c>
      <c r="G26" s="3" t="s">
        <v>113</v>
      </c>
      <c r="H26" s="3" t="s">
        <v>29</v>
      </c>
      <c r="I26" s="3">
        <v>15</v>
      </c>
      <c r="J26" s="3" t="s">
        <v>99</v>
      </c>
      <c r="K26" s="3" t="s">
        <v>121</v>
      </c>
      <c r="L26" s="3" t="s">
        <v>43</v>
      </c>
      <c r="M26" s="3" t="s">
        <v>33</v>
      </c>
      <c r="N26" s="3" t="s">
        <v>45</v>
      </c>
      <c r="O26" s="3" t="s">
        <v>115</v>
      </c>
      <c r="P26" s="3" t="s">
        <v>36</v>
      </c>
      <c r="Q26" s="3">
        <v>3</v>
      </c>
      <c r="R26" s="3">
        <v>0</v>
      </c>
      <c r="S26" s="3">
        <v>1</v>
      </c>
      <c r="T26" s="3" t="s">
        <v>37</v>
      </c>
      <c r="U26" s="3">
        <v>2.5</v>
      </c>
      <c r="V26" s="3">
        <v>3</v>
      </c>
      <c r="W26" s="3">
        <v>4</v>
      </c>
      <c r="X26" s="3">
        <v>2025</v>
      </c>
      <c r="Y26" s="3" t="s">
        <v>116</v>
      </c>
    </row>
    <row r="27" spans="1:25" ht="15">
      <c r="A27" s="2">
        <v>45964</v>
      </c>
      <c r="B27" s="2">
        <v>46329</v>
      </c>
      <c r="C27" s="3" t="s">
        <v>122</v>
      </c>
      <c r="D27" s="3" t="s">
        <v>26</v>
      </c>
      <c r="E27" s="3" t="s">
        <v>123</v>
      </c>
      <c r="F27" s="3">
        <v>1011</v>
      </c>
      <c r="G27" s="3" t="s">
        <v>124</v>
      </c>
      <c r="H27" s="3" t="s">
        <v>29</v>
      </c>
      <c r="I27" s="3">
        <v>22</v>
      </c>
      <c r="J27" s="3" t="s">
        <v>82</v>
      </c>
      <c r="K27" s="3" t="s">
        <v>125</v>
      </c>
      <c r="L27" s="3" t="s">
        <v>84</v>
      </c>
      <c r="M27" s="3" t="s">
        <v>33</v>
      </c>
      <c r="N27" s="3" t="s">
        <v>85</v>
      </c>
      <c r="O27" s="3" t="s">
        <v>126</v>
      </c>
      <c r="P27" s="3" t="s">
        <v>36</v>
      </c>
      <c r="Q27" s="3">
        <v>4</v>
      </c>
      <c r="R27" s="3">
        <v>0</v>
      </c>
      <c r="S27" s="3">
        <v>2</v>
      </c>
      <c r="T27" s="3" t="s">
        <v>48</v>
      </c>
      <c r="U27" s="3">
        <v>2.2999999999999998</v>
      </c>
      <c r="V27" s="3">
        <v>3</v>
      </c>
      <c r="W27" s="3">
        <v>6</v>
      </c>
      <c r="X27" s="3">
        <v>2025</v>
      </c>
      <c r="Y27" s="3" t="s">
        <v>127</v>
      </c>
    </row>
    <row r="28" spans="1:25" ht="15">
      <c r="A28" s="2">
        <v>45994</v>
      </c>
      <c r="B28" s="2">
        <v>46359</v>
      </c>
      <c r="C28" s="3" t="s">
        <v>128</v>
      </c>
      <c r="D28" s="3" t="s">
        <v>26</v>
      </c>
      <c r="E28" s="3" t="s">
        <v>129</v>
      </c>
      <c r="F28" s="3">
        <v>1012</v>
      </c>
      <c r="G28" s="3" t="s">
        <v>130</v>
      </c>
      <c r="H28" s="3" t="s">
        <v>29</v>
      </c>
      <c r="I28" s="3">
        <v>27</v>
      </c>
      <c r="J28" s="3" t="s">
        <v>107</v>
      </c>
      <c r="K28" s="3" t="s">
        <v>131</v>
      </c>
      <c r="L28" s="3" t="s">
        <v>32</v>
      </c>
      <c r="M28" s="3" t="s">
        <v>44</v>
      </c>
      <c r="N28" s="3" t="s">
        <v>34</v>
      </c>
      <c r="O28" s="3" t="s">
        <v>132</v>
      </c>
      <c r="P28" s="3" t="s">
        <v>36</v>
      </c>
      <c r="Q28" s="3">
        <v>3</v>
      </c>
      <c r="R28" s="3">
        <v>0</v>
      </c>
      <c r="S28" s="3">
        <v>5</v>
      </c>
      <c r="T28" s="3" t="s">
        <v>37</v>
      </c>
      <c r="U28" s="3">
        <v>2.1</v>
      </c>
      <c r="V28" s="3">
        <v>2</v>
      </c>
      <c r="W28" s="3">
        <v>8</v>
      </c>
      <c r="X28" s="3">
        <v>2025</v>
      </c>
      <c r="Y28" s="3" t="s">
        <v>133</v>
      </c>
    </row>
    <row r="29" spans="1:25" ht="15">
      <c r="A29" s="2">
        <v>46025</v>
      </c>
      <c r="B29" s="2">
        <v>45660</v>
      </c>
      <c r="C29" s="3" t="s">
        <v>134</v>
      </c>
      <c r="D29" s="3" t="s">
        <v>26</v>
      </c>
      <c r="E29" s="3" t="s">
        <v>135</v>
      </c>
      <c r="F29" s="3">
        <v>1013</v>
      </c>
      <c r="G29" s="3" t="s">
        <v>136</v>
      </c>
      <c r="H29" s="3" t="s">
        <v>29</v>
      </c>
      <c r="I29" s="3">
        <v>19</v>
      </c>
      <c r="J29" s="3" t="s">
        <v>91</v>
      </c>
      <c r="K29" s="3" t="s">
        <v>137</v>
      </c>
      <c r="L29" s="3" t="s">
        <v>93</v>
      </c>
      <c r="M29" s="3" t="s">
        <v>33</v>
      </c>
      <c r="N29" s="3" t="s">
        <v>45</v>
      </c>
      <c r="O29" s="3" t="s">
        <v>109</v>
      </c>
      <c r="P29" s="3" t="s">
        <v>36</v>
      </c>
      <c r="Q29" s="3">
        <v>1</v>
      </c>
      <c r="R29" s="3">
        <v>0</v>
      </c>
      <c r="S29" s="3">
        <v>6</v>
      </c>
      <c r="T29" s="3" t="s">
        <v>37</v>
      </c>
      <c r="U29" s="3">
        <v>1.5</v>
      </c>
      <c r="V29" s="3">
        <v>1</v>
      </c>
      <c r="W29" s="3">
        <v>7</v>
      </c>
      <c r="X29" s="3">
        <v>2026</v>
      </c>
      <c r="Y29" s="3" t="s">
        <v>38</v>
      </c>
    </row>
    <row r="30" spans="1:25" ht="15">
      <c r="A30" s="2">
        <v>46056</v>
      </c>
      <c r="B30" s="2">
        <v>45719</v>
      </c>
      <c r="C30" s="3" t="s">
        <v>138</v>
      </c>
      <c r="D30" s="3" t="s">
        <v>26</v>
      </c>
      <c r="E30" s="3" t="s">
        <v>139</v>
      </c>
      <c r="F30" s="3">
        <v>1014</v>
      </c>
      <c r="G30" s="3" t="s">
        <v>140</v>
      </c>
      <c r="H30" s="3" t="s">
        <v>29</v>
      </c>
      <c r="I30" s="3">
        <v>24</v>
      </c>
      <c r="J30" s="3" t="s">
        <v>82</v>
      </c>
      <c r="K30" s="3" t="s">
        <v>141</v>
      </c>
      <c r="L30" s="3" t="s">
        <v>43</v>
      </c>
      <c r="M30" s="3" t="s">
        <v>44</v>
      </c>
      <c r="N30" s="3" t="s">
        <v>72</v>
      </c>
      <c r="O30" s="3" t="s">
        <v>35</v>
      </c>
      <c r="P30" s="3" t="s">
        <v>47</v>
      </c>
      <c r="Q30" s="3">
        <v>2</v>
      </c>
      <c r="R30" s="3">
        <v>0</v>
      </c>
      <c r="S30" s="3">
        <v>1</v>
      </c>
      <c r="T30" s="3" t="s">
        <v>48</v>
      </c>
      <c r="U30" s="3">
        <v>2</v>
      </c>
      <c r="V30" s="3">
        <v>2</v>
      </c>
      <c r="W30" s="3">
        <v>3</v>
      </c>
      <c r="X30" s="3">
        <v>2026</v>
      </c>
      <c r="Y30" s="3" t="s">
        <v>49</v>
      </c>
    </row>
    <row r="31" spans="1:25" ht="15">
      <c r="A31" s="2">
        <v>46084</v>
      </c>
      <c r="B31" s="2">
        <v>45750</v>
      </c>
      <c r="C31" s="3" t="s">
        <v>142</v>
      </c>
      <c r="D31" s="3" t="s">
        <v>26</v>
      </c>
      <c r="E31" s="3" t="s">
        <v>143</v>
      </c>
      <c r="F31" s="3">
        <v>1015</v>
      </c>
      <c r="G31" s="3" t="s">
        <v>144</v>
      </c>
      <c r="H31" s="3" t="s">
        <v>29</v>
      </c>
      <c r="I31" s="3">
        <v>14</v>
      </c>
      <c r="J31" s="3" t="s">
        <v>99</v>
      </c>
      <c r="K31" s="3" t="s">
        <v>145</v>
      </c>
      <c r="L31" s="3" t="s">
        <v>93</v>
      </c>
      <c r="M31" s="3" t="s">
        <v>33</v>
      </c>
      <c r="N31" s="3" t="s">
        <v>101</v>
      </c>
      <c r="O31" s="3" t="s">
        <v>46</v>
      </c>
      <c r="P31" s="3" t="s">
        <v>36</v>
      </c>
      <c r="Q31" s="3">
        <v>3</v>
      </c>
      <c r="R31" s="3">
        <v>0</v>
      </c>
      <c r="S31" s="3">
        <v>6</v>
      </c>
      <c r="T31" s="3" t="s">
        <v>37</v>
      </c>
      <c r="U31" s="3">
        <v>2.4</v>
      </c>
      <c r="V31" s="3">
        <v>2</v>
      </c>
      <c r="W31" s="3">
        <v>9</v>
      </c>
      <c r="X31" s="3">
        <v>2026</v>
      </c>
      <c r="Y31" s="3" t="s">
        <v>58</v>
      </c>
    </row>
    <row r="32" spans="1:25" ht="15">
      <c r="A32" s="2">
        <v>46115</v>
      </c>
      <c r="B32" s="2">
        <v>45780</v>
      </c>
      <c r="C32" s="3" t="s">
        <v>146</v>
      </c>
      <c r="D32" s="3" t="s">
        <v>26</v>
      </c>
      <c r="E32" s="3" t="s">
        <v>147</v>
      </c>
      <c r="F32" s="3">
        <v>1016</v>
      </c>
      <c r="G32" s="3" t="s">
        <v>148</v>
      </c>
      <c r="H32" s="3" t="s">
        <v>29</v>
      </c>
      <c r="I32" s="3">
        <v>30</v>
      </c>
      <c r="J32" s="3" t="s">
        <v>107</v>
      </c>
      <c r="K32" s="3" t="s">
        <v>149</v>
      </c>
      <c r="L32" s="3" t="s">
        <v>32</v>
      </c>
      <c r="M32" s="3" t="s">
        <v>44</v>
      </c>
      <c r="N32" s="3" t="s">
        <v>34</v>
      </c>
      <c r="O32" s="3" t="s">
        <v>57</v>
      </c>
      <c r="P32" s="3" t="s">
        <v>36</v>
      </c>
      <c r="Q32" s="3">
        <v>4</v>
      </c>
      <c r="R32" s="3">
        <v>0</v>
      </c>
      <c r="S32" s="3">
        <v>3</v>
      </c>
      <c r="T32" s="3" t="s">
        <v>48</v>
      </c>
      <c r="U32" s="3">
        <v>1.7</v>
      </c>
      <c r="V32" s="3">
        <v>3</v>
      </c>
      <c r="W32" s="3">
        <v>7</v>
      </c>
      <c r="X32" s="3">
        <v>2026</v>
      </c>
      <c r="Y32" s="3" t="s">
        <v>67</v>
      </c>
    </row>
    <row r="33" spans="1:25" ht="15">
      <c r="A33" s="2">
        <v>46145</v>
      </c>
      <c r="B33" s="2">
        <v>45811</v>
      </c>
      <c r="C33" s="3" t="s">
        <v>150</v>
      </c>
      <c r="D33" s="3" t="s">
        <v>26</v>
      </c>
      <c r="E33" s="3" t="s">
        <v>151</v>
      </c>
      <c r="F33" s="3">
        <v>1017</v>
      </c>
      <c r="G33" s="3" t="s">
        <v>152</v>
      </c>
      <c r="H33" s="3" t="s">
        <v>29</v>
      </c>
      <c r="I33" s="3">
        <v>35</v>
      </c>
      <c r="J33" s="3" t="s">
        <v>30</v>
      </c>
      <c r="K33" s="3" t="s">
        <v>120</v>
      </c>
      <c r="L33" s="3" t="s">
        <v>43</v>
      </c>
      <c r="M33" s="3" t="s">
        <v>33</v>
      </c>
      <c r="N33" s="3" t="s">
        <v>45</v>
      </c>
      <c r="O33" s="3" t="s">
        <v>102</v>
      </c>
      <c r="P33" s="3" t="s">
        <v>47</v>
      </c>
      <c r="Q33" s="3">
        <v>5</v>
      </c>
      <c r="R33" s="3">
        <v>0</v>
      </c>
      <c r="S33" s="3">
        <v>16</v>
      </c>
      <c r="T33" s="3" t="s">
        <v>37</v>
      </c>
      <c r="U33" s="3">
        <v>2.6</v>
      </c>
      <c r="V33" s="3">
        <v>4</v>
      </c>
      <c r="W33" s="3">
        <v>21</v>
      </c>
      <c r="X33" s="3">
        <v>2026</v>
      </c>
      <c r="Y33" s="3" t="s">
        <v>74</v>
      </c>
    </row>
    <row r="34" spans="1:25" ht="15">
      <c r="A34" s="2">
        <v>46176</v>
      </c>
      <c r="B34" s="2">
        <v>45841</v>
      </c>
      <c r="C34" s="3" t="s">
        <v>153</v>
      </c>
      <c r="D34" s="3" t="s">
        <v>26</v>
      </c>
      <c r="E34" s="3" t="s">
        <v>154</v>
      </c>
      <c r="F34" s="3">
        <v>1018</v>
      </c>
      <c r="G34" s="3" t="s">
        <v>155</v>
      </c>
      <c r="H34" s="3" t="s">
        <v>29</v>
      </c>
      <c r="I34" s="3">
        <v>48</v>
      </c>
      <c r="J34" s="3" t="s">
        <v>53</v>
      </c>
      <c r="K34" s="3" t="s">
        <v>120</v>
      </c>
      <c r="L34" s="3" t="s">
        <v>55</v>
      </c>
      <c r="M34" s="3" t="s">
        <v>44</v>
      </c>
      <c r="N34" s="3" t="s">
        <v>56</v>
      </c>
      <c r="O34" s="3" t="s">
        <v>86</v>
      </c>
      <c r="P34" s="3" t="s">
        <v>36</v>
      </c>
      <c r="Q34" s="3">
        <v>3</v>
      </c>
      <c r="R34" s="3">
        <v>1</v>
      </c>
      <c r="S34" s="3">
        <v>11</v>
      </c>
      <c r="T34" s="3" t="s">
        <v>48</v>
      </c>
      <c r="U34" s="3">
        <v>2.2999999999999998</v>
      </c>
      <c r="V34" s="3">
        <v>2</v>
      </c>
      <c r="W34" s="3">
        <v>15</v>
      </c>
      <c r="X34" s="3">
        <v>2026</v>
      </c>
      <c r="Y34" s="3" t="s">
        <v>87</v>
      </c>
    </row>
    <row r="35" spans="1:25" ht="15">
      <c r="A35" s="2">
        <v>46206</v>
      </c>
      <c r="B35" s="2">
        <v>45661</v>
      </c>
      <c r="C35" s="3" t="s">
        <v>156</v>
      </c>
      <c r="D35" s="3" t="s">
        <v>26</v>
      </c>
      <c r="E35" s="3" t="s">
        <v>157</v>
      </c>
      <c r="F35" s="3">
        <v>1019</v>
      </c>
      <c r="G35" s="3" t="s">
        <v>158</v>
      </c>
      <c r="H35" s="3" t="s">
        <v>29</v>
      </c>
      <c r="I35" s="3">
        <v>53</v>
      </c>
      <c r="J35" s="3" t="s">
        <v>53</v>
      </c>
      <c r="K35" s="3" t="s">
        <v>120</v>
      </c>
      <c r="L35" s="3" t="s">
        <v>64</v>
      </c>
      <c r="M35" s="3" t="s">
        <v>33</v>
      </c>
      <c r="N35" s="3" t="s">
        <v>64</v>
      </c>
      <c r="O35" s="3" t="s">
        <v>94</v>
      </c>
      <c r="P35" s="3" t="s">
        <v>36</v>
      </c>
      <c r="Q35" s="3">
        <v>2</v>
      </c>
      <c r="R35" s="3">
        <v>0</v>
      </c>
      <c r="S35" s="3">
        <v>16</v>
      </c>
      <c r="T35" s="3" t="s">
        <v>37</v>
      </c>
      <c r="U35" s="3">
        <v>1.9</v>
      </c>
      <c r="V35" s="3">
        <v>2</v>
      </c>
      <c r="W35" s="3">
        <v>18</v>
      </c>
      <c r="X35" s="3">
        <v>2026</v>
      </c>
      <c r="Y35" s="3" t="s">
        <v>95</v>
      </c>
    </row>
    <row r="36" spans="1:25" ht="15">
      <c r="A36" s="2">
        <v>46237</v>
      </c>
      <c r="B36" s="2">
        <v>45692</v>
      </c>
      <c r="C36" s="3" t="s">
        <v>159</v>
      </c>
      <c r="D36" s="3" t="s">
        <v>26</v>
      </c>
      <c r="E36" s="3" t="s">
        <v>160</v>
      </c>
      <c r="F36" s="3">
        <v>1020</v>
      </c>
      <c r="G36" s="3" t="s">
        <v>161</v>
      </c>
      <c r="H36" s="3" t="s">
        <v>29</v>
      </c>
      <c r="I36" s="3">
        <v>66</v>
      </c>
      <c r="J36" s="3" t="s">
        <v>62</v>
      </c>
      <c r="K36" s="3" t="s">
        <v>162</v>
      </c>
      <c r="L36" s="3" t="s">
        <v>84</v>
      </c>
      <c r="M36" s="3" t="s">
        <v>44</v>
      </c>
      <c r="N36" s="3" t="s">
        <v>85</v>
      </c>
      <c r="O36" s="3" t="s">
        <v>35</v>
      </c>
      <c r="P36" s="3" t="s">
        <v>36</v>
      </c>
      <c r="Q36" s="3">
        <v>3</v>
      </c>
      <c r="R36" s="3">
        <v>1</v>
      </c>
      <c r="S36" s="3">
        <v>0</v>
      </c>
      <c r="T36" s="3" t="s">
        <v>37</v>
      </c>
      <c r="U36" s="3">
        <v>2.8</v>
      </c>
      <c r="V36" s="3">
        <v>3</v>
      </c>
      <c r="W36" s="3">
        <v>4</v>
      </c>
      <c r="X36" s="3">
        <v>2026</v>
      </c>
      <c r="Y36" s="3" t="s">
        <v>103</v>
      </c>
    </row>
    <row r="37" spans="1:25" ht="15">
      <c r="A37" s="2">
        <v>46268</v>
      </c>
      <c r="B37" s="2">
        <v>45720</v>
      </c>
      <c r="C37" s="3" t="s">
        <v>163</v>
      </c>
      <c r="D37" s="3" t="s">
        <v>26</v>
      </c>
      <c r="E37" s="3" t="s">
        <v>164</v>
      </c>
      <c r="F37" s="3">
        <v>1021</v>
      </c>
      <c r="G37" s="3" t="s">
        <v>165</v>
      </c>
      <c r="H37" s="3" t="s">
        <v>29</v>
      </c>
      <c r="I37" s="3">
        <v>37</v>
      </c>
      <c r="J37" s="3" t="s">
        <v>30</v>
      </c>
      <c r="K37" s="3" t="s">
        <v>166</v>
      </c>
      <c r="L37" s="3" t="s">
        <v>32</v>
      </c>
      <c r="M37" s="3" t="s">
        <v>33</v>
      </c>
      <c r="N37" s="3" t="s">
        <v>34</v>
      </c>
      <c r="O37" s="3" t="s">
        <v>109</v>
      </c>
      <c r="P37" s="3" t="s">
        <v>36</v>
      </c>
      <c r="Q37" s="3">
        <v>4</v>
      </c>
      <c r="R37" s="3">
        <v>0</v>
      </c>
      <c r="S37" s="3">
        <v>5</v>
      </c>
      <c r="T37" s="3" t="s">
        <v>37</v>
      </c>
      <c r="U37" s="3">
        <v>2.6</v>
      </c>
      <c r="V37" s="3">
        <v>2</v>
      </c>
      <c r="W37" s="3">
        <v>9</v>
      </c>
      <c r="X37" s="3">
        <v>2026</v>
      </c>
      <c r="Y37" s="3" t="s">
        <v>110</v>
      </c>
    </row>
    <row r="38" spans="1:25" ht="15">
      <c r="A38" s="2">
        <v>46298</v>
      </c>
      <c r="B38" s="2">
        <v>45751</v>
      </c>
      <c r="C38" s="3" t="s">
        <v>167</v>
      </c>
      <c r="D38" s="3" t="s">
        <v>26</v>
      </c>
      <c r="E38" s="3" t="s">
        <v>168</v>
      </c>
      <c r="F38" s="3">
        <v>1022</v>
      </c>
      <c r="G38" s="3" t="s">
        <v>169</v>
      </c>
      <c r="H38" s="3" t="s">
        <v>29</v>
      </c>
      <c r="I38" s="3">
        <v>29</v>
      </c>
      <c r="J38" s="3" t="s">
        <v>107</v>
      </c>
      <c r="K38" s="3" t="s">
        <v>170</v>
      </c>
      <c r="L38" s="3" t="s">
        <v>43</v>
      </c>
      <c r="M38" s="3" t="s">
        <v>44</v>
      </c>
      <c r="N38" s="3" t="s">
        <v>72</v>
      </c>
      <c r="O38" s="3" t="s">
        <v>57</v>
      </c>
      <c r="P38" s="3" t="s">
        <v>47</v>
      </c>
      <c r="Q38" s="3">
        <v>2</v>
      </c>
      <c r="R38" s="3">
        <v>0</v>
      </c>
      <c r="S38" s="3">
        <v>0</v>
      </c>
      <c r="T38" s="3" t="s">
        <v>48</v>
      </c>
      <c r="U38" s="3">
        <v>1.7</v>
      </c>
      <c r="V38" s="3">
        <v>3</v>
      </c>
      <c r="W38" s="3">
        <v>2</v>
      </c>
      <c r="X38" s="3">
        <v>2026</v>
      </c>
      <c r="Y38" s="3" t="s">
        <v>116</v>
      </c>
    </row>
    <row r="39" spans="1:25" ht="15">
      <c r="A39" s="2">
        <v>46329</v>
      </c>
      <c r="B39" s="2">
        <v>45781</v>
      </c>
      <c r="C39" s="3" t="s">
        <v>171</v>
      </c>
      <c r="D39" s="3" t="s">
        <v>26</v>
      </c>
      <c r="E39" s="3" t="s">
        <v>172</v>
      </c>
      <c r="F39" s="3">
        <v>1023</v>
      </c>
      <c r="G39" s="3" t="s">
        <v>173</v>
      </c>
      <c r="H39" s="3" t="s">
        <v>29</v>
      </c>
      <c r="I39" s="3">
        <v>16</v>
      </c>
      <c r="J39" s="3" t="s">
        <v>91</v>
      </c>
      <c r="K39" s="3" t="s">
        <v>120</v>
      </c>
      <c r="L39" s="3" t="s">
        <v>93</v>
      </c>
      <c r="M39" s="3" t="s">
        <v>33</v>
      </c>
      <c r="N39" s="3" t="s">
        <v>101</v>
      </c>
      <c r="O39" s="3" t="s">
        <v>86</v>
      </c>
      <c r="P39" s="3" t="s">
        <v>36</v>
      </c>
      <c r="Q39" s="3">
        <v>1</v>
      </c>
      <c r="R39" s="3">
        <v>0</v>
      </c>
      <c r="S39" s="3">
        <v>10</v>
      </c>
      <c r="T39" s="3" t="s">
        <v>37</v>
      </c>
      <c r="U39" s="3">
        <v>2.1</v>
      </c>
      <c r="V39" s="3">
        <v>1</v>
      </c>
      <c r="W39" s="3">
        <v>11</v>
      </c>
      <c r="X39" s="3">
        <v>2026</v>
      </c>
      <c r="Y39" s="3" t="s">
        <v>127</v>
      </c>
    </row>
    <row r="40" spans="1:25" ht="15">
      <c r="A40" s="2">
        <v>46359</v>
      </c>
      <c r="B40" s="2">
        <v>45812</v>
      </c>
      <c r="C40" s="3" t="s">
        <v>174</v>
      </c>
      <c r="D40" s="3" t="s">
        <v>26</v>
      </c>
      <c r="E40" s="3" t="s">
        <v>175</v>
      </c>
      <c r="F40" s="3">
        <v>1024</v>
      </c>
      <c r="G40" s="3" t="s">
        <v>176</v>
      </c>
      <c r="H40" s="3" t="s">
        <v>29</v>
      </c>
      <c r="I40" s="3">
        <v>40</v>
      </c>
      <c r="J40" s="3" t="s">
        <v>30</v>
      </c>
      <c r="K40" s="3" t="s">
        <v>120</v>
      </c>
      <c r="L40" s="3" t="s">
        <v>84</v>
      </c>
      <c r="M40" s="3" t="s">
        <v>44</v>
      </c>
      <c r="N40" s="3" t="s">
        <v>85</v>
      </c>
      <c r="O40" s="3" t="s">
        <v>46</v>
      </c>
      <c r="P40" s="3" t="s">
        <v>36</v>
      </c>
      <c r="Q40" s="3">
        <v>3</v>
      </c>
      <c r="R40" s="3">
        <v>0</v>
      </c>
      <c r="S40" s="3">
        <v>10</v>
      </c>
      <c r="T40" s="3" t="s">
        <v>37</v>
      </c>
      <c r="U40" s="3">
        <v>1.5</v>
      </c>
      <c r="V40" s="3">
        <v>2</v>
      </c>
      <c r="W40" s="3">
        <v>13</v>
      </c>
      <c r="X40" s="3">
        <v>2026</v>
      </c>
      <c r="Y40" s="3" t="s">
        <v>133</v>
      </c>
    </row>
    <row r="41" spans="1:25" ht="15">
      <c r="A41" s="2">
        <v>45660</v>
      </c>
      <c r="B41" s="2">
        <v>45842</v>
      </c>
      <c r="C41" s="3" t="s">
        <v>177</v>
      </c>
      <c r="D41" s="3" t="s">
        <v>26</v>
      </c>
      <c r="E41" s="3" t="s">
        <v>112</v>
      </c>
      <c r="F41" s="3">
        <v>1025</v>
      </c>
      <c r="G41" s="3" t="s">
        <v>178</v>
      </c>
      <c r="H41" s="3" t="s">
        <v>41</v>
      </c>
      <c r="I41" s="3">
        <v>34</v>
      </c>
      <c r="J41" s="3" t="s">
        <v>30</v>
      </c>
      <c r="K41" s="3" t="s">
        <v>42</v>
      </c>
      <c r="L41" s="3" t="s">
        <v>55</v>
      </c>
      <c r="M41" s="3" t="s">
        <v>33</v>
      </c>
      <c r="N41" s="3" t="s">
        <v>56</v>
      </c>
      <c r="O41" s="3" t="s">
        <v>35</v>
      </c>
      <c r="P41" s="3" t="s">
        <v>47</v>
      </c>
      <c r="Q41" s="3">
        <v>4</v>
      </c>
      <c r="R41" s="3">
        <v>1</v>
      </c>
      <c r="S41" s="3">
        <v>2</v>
      </c>
      <c r="T41" s="3" t="s">
        <v>37</v>
      </c>
      <c r="U41" s="3">
        <v>2.9</v>
      </c>
      <c r="V41" s="3">
        <v>3</v>
      </c>
      <c r="W41" s="3">
        <v>7</v>
      </c>
      <c r="X41" s="3">
        <v>2025</v>
      </c>
      <c r="Y41" s="3" t="s">
        <v>38</v>
      </c>
    </row>
    <row r="42" spans="1:25" ht="15">
      <c r="A42" s="2">
        <v>45691</v>
      </c>
      <c r="B42" s="2">
        <v>45873</v>
      </c>
      <c r="C42" s="3" t="s">
        <v>179</v>
      </c>
      <c r="D42" s="3" t="s">
        <v>26</v>
      </c>
      <c r="E42" s="3" t="s">
        <v>27</v>
      </c>
      <c r="F42" s="3">
        <v>1026</v>
      </c>
      <c r="G42" s="3" t="s">
        <v>180</v>
      </c>
      <c r="H42" s="3" t="s">
        <v>29</v>
      </c>
      <c r="I42" s="3">
        <v>12</v>
      </c>
      <c r="J42" s="3" t="s">
        <v>99</v>
      </c>
      <c r="K42" s="3" t="s">
        <v>181</v>
      </c>
      <c r="L42" s="3" t="s">
        <v>93</v>
      </c>
      <c r="M42" s="3" t="s">
        <v>44</v>
      </c>
      <c r="N42" s="3" t="s">
        <v>45</v>
      </c>
      <c r="O42" s="3" t="s">
        <v>109</v>
      </c>
      <c r="P42" s="3" t="s">
        <v>36</v>
      </c>
      <c r="Q42" s="3">
        <v>1</v>
      </c>
      <c r="R42" s="3">
        <v>0</v>
      </c>
      <c r="S42" s="3">
        <v>0</v>
      </c>
      <c r="T42" s="3" t="s">
        <v>48</v>
      </c>
      <c r="U42" s="3">
        <v>1.3</v>
      </c>
      <c r="V42" s="3">
        <v>1</v>
      </c>
      <c r="W42" s="3">
        <v>1</v>
      </c>
      <c r="X42" s="3">
        <v>2025</v>
      </c>
      <c r="Y42" s="3" t="s">
        <v>49</v>
      </c>
    </row>
    <row r="43" spans="1:25" ht="15">
      <c r="A43" s="2">
        <v>45719</v>
      </c>
      <c r="B43" s="2">
        <v>45904</v>
      </c>
      <c r="C43" s="3" t="s">
        <v>182</v>
      </c>
      <c r="D43" s="3" t="s">
        <v>26</v>
      </c>
      <c r="E43" s="3" t="s">
        <v>183</v>
      </c>
      <c r="F43" s="3">
        <v>1027</v>
      </c>
      <c r="G43" s="3" t="s">
        <v>184</v>
      </c>
      <c r="H43" s="3" t="s">
        <v>41</v>
      </c>
      <c r="I43" s="3">
        <v>47</v>
      </c>
      <c r="J43" s="3" t="s">
        <v>53</v>
      </c>
      <c r="K43" s="3" t="s">
        <v>119</v>
      </c>
      <c r="L43" s="3" t="s">
        <v>43</v>
      </c>
      <c r="M43" s="3" t="s">
        <v>33</v>
      </c>
      <c r="N43" s="3" t="s">
        <v>45</v>
      </c>
      <c r="O43" s="3" t="s">
        <v>94</v>
      </c>
      <c r="P43" s="3" t="s">
        <v>47</v>
      </c>
      <c r="Q43" s="3">
        <v>3</v>
      </c>
      <c r="R43" s="3">
        <v>1</v>
      </c>
      <c r="S43" s="3">
        <v>0</v>
      </c>
      <c r="T43" s="3" t="s">
        <v>37</v>
      </c>
      <c r="U43" s="3">
        <v>2.8</v>
      </c>
      <c r="V43" s="3">
        <v>2</v>
      </c>
      <c r="W43" s="3">
        <v>4</v>
      </c>
      <c r="X43" s="3">
        <v>2025</v>
      </c>
      <c r="Y43" s="3" t="s">
        <v>58</v>
      </c>
    </row>
    <row r="44" spans="1:25" ht="15">
      <c r="A44" s="2">
        <v>45750</v>
      </c>
      <c r="B44" s="2">
        <v>45934</v>
      </c>
      <c r="C44" s="3" t="s">
        <v>185</v>
      </c>
      <c r="D44" s="3" t="s">
        <v>26</v>
      </c>
      <c r="E44" s="3" t="s">
        <v>186</v>
      </c>
      <c r="F44" s="3">
        <v>1028</v>
      </c>
      <c r="G44" s="3" t="s">
        <v>187</v>
      </c>
      <c r="H44" s="3" t="s">
        <v>29</v>
      </c>
      <c r="I44" s="3">
        <v>58</v>
      </c>
      <c r="J44" s="3" t="s">
        <v>53</v>
      </c>
      <c r="K44" s="3" t="s">
        <v>188</v>
      </c>
      <c r="L44" s="3" t="s">
        <v>55</v>
      </c>
      <c r="M44" s="3" t="s">
        <v>44</v>
      </c>
      <c r="N44" s="3" t="s">
        <v>34</v>
      </c>
      <c r="O44" s="3" t="s">
        <v>126</v>
      </c>
      <c r="P44" s="3" t="s">
        <v>36</v>
      </c>
      <c r="Q44" s="3">
        <v>2</v>
      </c>
      <c r="R44" s="3">
        <v>0</v>
      </c>
      <c r="S44" s="3">
        <v>0</v>
      </c>
      <c r="T44" s="3" t="s">
        <v>48</v>
      </c>
      <c r="U44" s="3">
        <v>2.5</v>
      </c>
      <c r="V44" s="3">
        <v>2</v>
      </c>
      <c r="W44" s="3">
        <v>2</v>
      </c>
      <c r="X44" s="3">
        <v>2025</v>
      </c>
      <c r="Y44" s="3" t="s">
        <v>67</v>
      </c>
    </row>
    <row r="45" spans="1:25" ht="15">
      <c r="A45" s="2">
        <v>45780</v>
      </c>
      <c r="B45" s="2">
        <v>45965</v>
      </c>
      <c r="C45" s="3" t="s">
        <v>189</v>
      </c>
      <c r="D45" s="3" t="s">
        <v>26</v>
      </c>
      <c r="E45" s="3" t="s">
        <v>190</v>
      </c>
      <c r="F45" s="3">
        <v>1029</v>
      </c>
      <c r="G45" s="3" t="s">
        <v>191</v>
      </c>
      <c r="H45" s="3" t="s">
        <v>41</v>
      </c>
      <c r="I45" s="3">
        <v>50</v>
      </c>
      <c r="J45" s="3" t="s">
        <v>53</v>
      </c>
      <c r="K45" s="3" t="s">
        <v>188</v>
      </c>
      <c r="L45" s="3" t="s">
        <v>64</v>
      </c>
      <c r="M45" s="3" t="s">
        <v>33</v>
      </c>
      <c r="N45" s="3" t="s">
        <v>64</v>
      </c>
      <c r="O45" s="3" t="s">
        <v>57</v>
      </c>
      <c r="P45" s="3" t="s">
        <v>36</v>
      </c>
      <c r="Q45" s="3">
        <v>3</v>
      </c>
      <c r="R45" s="3">
        <v>0</v>
      </c>
      <c r="S45" s="3">
        <v>6</v>
      </c>
      <c r="T45" s="3" t="s">
        <v>37</v>
      </c>
      <c r="U45" s="3">
        <v>1.7</v>
      </c>
      <c r="V45" s="3">
        <v>3</v>
      </c>
      <c r="W45" s="3">
        <v>9</v>
      </c>
      <c r="X45" s="3">
        <v>2025</v>
      </c>
      <c r="Y45" s="3" t="s">
        <v>74</v>
      </c>
    </row>
    <row r="46" spans="1:25" ht="15">
      <c r="A46" s="2">
        <v>45811</v>
      </c>
      <c r="B46" s="2">
        <v>45995</v>
      </c>
      <c r="C46" s="3" t="s">
        <v>192</v>
      </c>
      <c r="D46" s="3" t="s">
        <v>26</v>
      </c>
      <c r="E46" s="3" t="s">
        <v>193</v>
      </c>
      <c r="F46" s="3">
        <v>1030</v>
      </c>
      <c r="G46" s="3" t="s">
        <v>194</v>
      </c>
      <c r="H46" s="3" t="s">
        <v>29</v>
      </c>
      <c r="I46" s="3">
        <v>22</v>
      </c>
      <c r="J46" s="3" t="s">
        <v>82</v>
      </c>
      <c r="K46" s="3" t="s">
        <v>188</v>
      </c>
      <c r="L46" s="3" t="s">
        <v>84</v>
      </c>
      <c r="M46" s="3" t="s">
        <v>44</v>
      </c>
      <c r="N46" s="3" t="s">
        <v>85</v>
      </c>
      <c r="O46" s="3" t="s">
        <v>35</v>
      </c>
      <c r="P46" s="3" t="s">
        <v>36</v>
      </c>
      <c r="Q46" s="3">
        <v>4</v>
      </c>
      <c r="R46" s="3">
        <v>0</v>
      </c>
      <c r="S46" s="3">
        <v>4</v>
      </c>
      <c r="T46" s="3" t="s">
        <v>48</v>
      </c>
      <c r="U46" s="3">
        <v>1.4</v>
      </c>
      <c r="V46" s="3">
        <v>2</v>
      </c>
      <c r="W46" s="3">
        <v>8</v>
      </c>
      <c r="X46" s="3">
        <v>2025</v>
      </c>
      <c r="Y46" s="3" t="s">
        <v>87</v>
      </c>
    </row>
    <row r="47" spans="1:25" ht="15">
      <c r="A47" s="2">
        <v>45841</v>
      </c>
      <c r="B47" s="2">
        <v>46026</v>
      </c>
      <c r="C47" s="3" t="s">
        <v>195</v>
      </c>
      <c r="D47" s="3" t="s">
        <v>26</v>
      </c>
      <c r="E47" s="3" t="s">
        <v>196</v>
      </c>
      <c r="F47" s="3">
        <v>1031</v>
      </c>
      <c r="G47" s="3" t="s">
        <v>197</v>
      </c>
      <c r="H47" s="3" t="s">
        <v>41</v>
      </c>
      <c r="I47" s="3">
        <v>19</v>
      </c>
      <c r="J47" s="3" t="s">
        <v>91</v>
      </c>
      <c r="K47" s="3" t="s">
        <v>198</v>
      </c>
      <c r="L47" s="3" t="s">
        <v>93</v>
      </c>
      <c r="M47" s="3" t="s">
        <v>33</v>
      </c>
      <c r="N47" s="3" t="s">
        <v>45</v>
      </c>
      <c r="O47" s="3" t="s">
        <v>46</v>
      </c>
      <c r="P47" s="3" t="s">
        <v>47</v>
      </c>
      <c r="Q47" s="3">
        <v>1</v>
      </c>
      <c r="R47" s="3">
        <v>0</v>
      </c>
      <c r="S47" s="3">
        <v>0</v>
      </c>
      <c r="T47" s="3" t="s">
        <v>37</v>
      </c>
      <c r="U47" s="3">
        <v>2.2999999999999998</v>
      </c>
      <c r="V47" s="3">
        <v>2</v>
      </c>
      <c r="W47" s="3">
        <v>1</v>
      </c>
      <c r="X47" s="3">
        <v>2025</v>
      </c>
      <c r="Y47" s="3" t="s">
        <v>95</v>
      </c>
    </row>
    <row r="48" spans="1:25" ht="15">
      <c r="A48" s="2">
        <v>45691</v>
      </c>
      <c r="B48" s="2">
        <v>46057</v>
      </c>
      <c r="C48" s="3" t="s">
        <v>199</v>
      </c>
      <c r="D48" s="3" t="s">
        <v>26</v>
      </c>
      <c r="E48" s="3" t="s">
        <v>157</v>
      </c>
      <c r="F48" s="3">
        <v>1032</v>
      </c>
      <c r="G48" s="3" t="s">
        <v>200</v>
      </c>
      <c r="H48" s="3" t="s">
        <v>29</v>
      </c>
      <c r="I48" s="3">
        <v>27</v>
      </c>
      <c r="J48" s="3" t="s">
        <v>107</v>
      </c>
      <c r="K48" s="3" t="s">
        <v>188</v>
      </c>
      <c r="L48" s="3" t="s">
        <v>32</v>
      </c>
      <c r="M48" s="3" t="s">
        <v>44</v>
      </c>
      <c r="N48" s="3" t="s">
        <v>34</v>
      </c>
      <c r="O48" s="3" t="s">
        <v>109</v>
      </c>
      <c r="P48" s="3" t="s">
        <v>36</v>
      </c>
      <c r="Q48" s="3">
        <v>3</v>
      </c>
      <c r="R48" s="3">
        <v>0</v>
      </c>
      <c r="S48" s="3">
        <v>4</v>
      </c>
      <c r="T48" s="3" t="s">
        <v>48</v>
      </c>
      <c r="U48" s="3">
        <v>1.8</v>
      </c>
      <c r="V48" s="3">
        <v>3</v>
      </c>
      <c r="W48" s="3">
        <v>7</v>
      </c>
      <c r="X48" s="3">
        <v>2025</v>
      </c>
      <c r="Y48" s="3" t="s">
        <v>49</v>
      </c>
    </row>
    <row r="49" spans="1:25" ht="15">
      <c r="A49" s="2">
        <v>45719</v>
      </c>
      <c r="B49" s="2">
        <v>46085</v>
      </c>
      <c r="C49" s="3" t="s">
        <v>201</v>
      </c>
      <c r="D49" s="3" t="s">
        <v>26</v>
      </c>
      <c r="E49" s="3" t="s">
        <v>202</v>
      </c>
      <c r="F49" s="3">
        <v>1033</v>
      </c>
      <c r="G49" s="3" t="s">
        <v>203</v>
      </c>
      <c r="H49" s="3" t="s">
        <v>41</v>
      </c>
      <c r="I49" s="3">
        <v>34</v>
      </c>
      <c r="J49" s="3" t="s">
        <v>30</v>
      </c>
      <c r="K49" s="3" t="s">
        <v>188</v>
      </c>
      <c r="L49" s="3" t="s">
        <v>43</v>
      </c>
      <c r="M49" s="3" t="s">
        <v>33</v>
      </c>
      <c r="N49" s="3" t="s">
        <v>72</v>
      </c>
      <c r="O49" s="3" t="s">
        <v>86</v>
      </c>
      <c r="P49" s="3" t="s">
        <v>36</v>
      </c>
      <c r="Q49" s="3">
        <v>2</v>
      </c>
      <c r="R49" s="3">
        <v>0</v>
      </c>
      <c r="S49" s="3">
        <v>6</v>
      </c>
      <c r="T49" s="3" t="s">
        <v>37</v>
      </c>
      <c r="U49" s="3">
        <v>1.6</v>
      </c>
      <c r="V49" s="3">
        <v>2</v>
      </c>
      <c r="W49" s="3">
        <v>8</v>
      </c>
      <c r="X49" s="3">
        <v>2025</v>
      </c>
      <c r="Y49" s="3" t="s">
        <v>58</v>
      </c>
    </row>
    <row r="50" spans="1:25" ht="15">
      <c r="A50" s="2">
        <v>45750</v>
      </c>
      <c r="B50" s="2">
        <v>46116</v>
      </c>
      <c r="C50" s="3" t="s">
        <v>204</v>
      </c>
      <c r="D50" s="3" t="s">
        <v>26</v>
      </c>
      <c r="E50" s="3" t="s">
        <v>129</v>
      </c>
      <c r="F50" s="3">
        <v>1034</v>
      </c>
      <c r="G50" s="3" t="s">
        <v>205</v>
      </c>
      <c r="H50" s="3" t="s">
        <v>29</v>
      </c>
      <c r="I50" s="3">
        <v>43</v>
      </c>
      <c r="J50" s="3" t="s">
        <v>30</v>
      </c>
      <c r="K50" s="3" t="s">
        <v>170</v>
      </c>
      <c r="L50" s="3" t="s">
        <v>55</v>
      </c>
      <c r="M50" s="3" t="s">
        <v>44</v>
      </c>
      <c r="N50" s="3" t="s">
        <v>56</v>
      </c>
      <c r="O50" s="3" t="s">
        <v>94</v>
      </c>
      <c r="P50" s="3" t="s">
        <v>36</v>
      </c>
      <c r="Q50" s="3">
        <v>1</v>
      </c>
      <c r="R50" s="3">
        <v>0</v>
      </c>
      <c r="S50" s="3">
        <v>6</v>
      </c>
      <c r="T50" s="3" t="s">
        <v>48</v>
      </c>
      <c r="U50" s="3">
        <v>1.9</v>
      </c>
      <c r="V50" s="3">
        <v>2</v>
      </c>
      <c r="W50" s="3">
        <v>7</v>
      </c>
      <c r="X50" s="3">
        <v>2025</v>
      </c>
      <c r="Y50" s="3" t="s">
        <v>67</v>
      </c>
    </row>
    <row r="51" spans="1:25" ht="15">
      <c r="A51" s="2">
        <v>45780</v>
      </c>
      <c r="B51" s="2">
        <v>46146</v>
      </c>
      <c r="C51" s="3" t="s">
        <v>206</v>
      </c>
      <c r="D51" s="3" t="s">
        <v>26</v>
      </c>
      <c r="E51" s="3" t="s">
        <v>207</v>
      </c>
      <c r="F51" s="3">
        <v>1035</v>
      </c>
      <c r="G51" s="3" t="s">
        <v>208</v>
      </c>
      <c r="H51" s="3" t="s">
        <v>41</v>
      </c>
      <c r="I51" s="3">
        <v>52</v>
      </c>
      <c r="J51" s="3" t="s">
        <v>53</v>
      </c>
      <c r="K51" s="3" t="s">
        <v>209</v>
      </c>
      <c r="L51" s="3" t="s">
        <v>84</v>
      </c>
      <c r="M51" s="3" t="s">
        <v>33</v>
      </c>
      <c r="N51" s="3" t="s">
        <v>85</v>
      </c>
      <c r="O51" s="3" t="s">
        <v>57</v>
      </c>
      <c r="P51" s="3" t="s">
        <v>47</v>
      </c>
      <c r="Q51" s="3">
        <v>3</v>
      </c>
      <c r="R51" s="3">
        <v>1</v>
      </c>
      <c r="S51" s="3">
        <v>0</v>
      </c>
      <c r="T51" s="3" t="s">
        <v>37</v>
      </c>
      <c r="U51" s="3">
        <v>2.5</v>
      </c>
      <c r="V51" s="3">
        <v>3</v>
      </c>
      <c r="W51" s="3">
        <v>4</v>
      </c>
      <c r="X51" s="3">
        <v>2025</v>
      </c>
      <c r="Y51" s="3" t="s">
        <v>74</v>
      </c>
    </row>
    <row r="52" spans="1:25" ht="15">
      <c r="A52" s="2">
        <v>45811</v>
      </c>
      <c r="B52" s="2">
        <v>46177</v>
      </c>
      <c r="C52" s="3" t="s">
        <v>210</v>
      </c>
      <c r="D52" s="3" t="s">
        <v>26</v>
      </c>
      <c r="E52" s="3" t="s">
        <v>211</v>
      </c>
      <c r="F52" s="3">
        <v>1036</v>
      </c>
      <c r="G52" s="3" t="s">
        <v>212</v>
      </c>
      <c r="H52" s="3" t="s">
        <v>29</v>
      </c>
      <c r="I52" s="3">
        <v>60</v>
      </c>
      <c r="J52" s="3" t="s">
        <v>62</v>
      </c>
      <c r="K52" s="3" t="s">
        <v>213</v>
      </c>
      <c r="L52" s="3" t="s">
        <v>32</v>
      </c>
      <c r="M52" s="3" t="s">
        <v>44</v>
      </c>
      <c r="N52" s="3" t="s">
        <v>34</v>
      </c>
      <c r="O52" s="3" t="s">
        <v>35</v>
      </c>
      <c r="P52" s="3" t="s">
        <v>36</v>
      </c>
      <c r="Q52" s="3">
        <v>4</v>
      </c>
      <c r="R52" s="3">
        <v>0</v>
      </c>
      <c r="S52" s="3">
        <v>4</v>
      </c>
      <c r="T52" s="3" t="s">
        <v>48</v>
      </c>
      <c r="U52" s="3">
        <v>2.4</v>
      </c>
      <c r="V52" s="3">
        <v>2</v>
      </c>
      <c r="W52" s="3">
        <v>8</v>
      </c>
      <c r="X52" s="3">
        <v>2025</v>
      </c>
      <c r="Y52" s="3" t="s">
        <v>87</v>
      </c>
    </row>
    <row r="53" spans="1:25" ht="15">
      <c r="A53" s="2">
        <v>45841</v>
      </c>
      <c r="B53" s="2">
        <v>46207</v>
      </c>
      <c r="C53" s="3" t="s">
        <v>214</v>
      </c>
      <c r="D53" s="3" t="s">
        <v>26</v>
      </c>
      <c r="E53" s="3" t="s">
        <v>51</v>
      </c>
      <c r="F53" s="3">
        <v>1037</v>
      </c>
      <c r="G53" s="3" t="s">
        <v>215</v>
      </c>
      <c r="H53" s="3" t="s">
        <v>41</v>
      </c>
      <c r="I53" s="3">
        <v>39</v>
      </c>
      <c r="J53" s="3" t="s">
        <v>30</v>
      </c>
      <c r="K53" s="3" t="s">
        <v>213</v>
      </c>
      <c r="L53" s="3" t="s">
        <v>43</v>
      </c>
      <c r="M53" s="3" t="s">
        <v>33</v>
      </c>
      <c r="N53" s="3" t="s">
        <v>45</v>
      </c>
      <c r="O53" s="3" t="s">
        <v>46</v>
      </c>
      <c r="P53" s="3" t="s">
        <v>36</v>
      </c>
      <c r="Q53" s="3">
        <v>3</v>
      </c>
      <c r="R53" s="3">
        <v>0</v>
      </c>
      <c r="S53" s="3">
        <v>0</v>
      </c>
      <c r="T53" s="3" t="s">
        <v>37</v>
      </c>
      <c r="U53" s="3">
        <v>1.3</v>
      </c>
      <c r="V53" s="3">
        <v>1</v>
      </c>
      <c r="W53" s="3">
        <v>3</v>
      </c>
      <c r="X53" s="3">
        <v>2025</v>
      </c>
      <c r="Y53" s="3" t="s">
        <v>95</v>
      </c>
    </row>
    <row r="54" spans="1:25" ht="15">
      <c r="A54" s="2">
        <v>45872</v>
      </c>
      <c r="B54" s="2">
        <v>46238</v>
      </c>
      <c r="C54" s="3" t="s">
        <v>216</v>
      </c>
      <c r="D54" s="3" t="s">
        <v>26</v>
      </c>
      <c r="E54" s="3" t="s">
        <v>217</v>
      </c>
      <c r="F54" s="3">
        <v>1038</v>
      </c>
      <c r="G54" s="3" t="s">
        <v>161</v>
      </c>
      <c r="H54" s="3" t="s">
        <v>29</v>
      </c>
      <c r="I54" s="3">
        <v>45</v>
      </c>
      <c r="J54" s="3" t="s">
        <v>53</v>
      </c>
      <c r="K54" s="3" t="s">
        <v>213</v>
      </c>
      <c r="L54" s="3" t="s">
        <v>64</v>
      </c>
      <c r="M54" s="3" t="s">
        <v>44</v>
      </c>
      <c r="N54" s="3" t="s">
        <v>64</v>
      </c>
      <c r="O54" s="3" t="s">
        <v>109</v>
      </c>
      <c r="P54" s="3" t="s">
        <v>36</v>
      </c>
      <c r="Q54" s="3">
        <v>2</v>
      </c>
      <c r="R54" s="3">
        <v>0</v>
      </c>
      <c r="S54" s="3">
        <v>6</v>
      </c>
      <c r="T54" s="3" t="s">
        <v>48</v>
      </c>
      <c r="U54" s="3">
        <v>1.8</v>
      </c>
      <c r="V54" s="3">
        <v>3</v>
      </c>
      <c r="W54" s="3">
        <v>8</v>
      </c>
      <c r="X54" s="3">
        <v>2025</v>
      </c>
      <c r="Y54" s="3" t="s">
        <v>103</v>
      </c>
    </row>
    <row r="55" spans="1:25" ht="15">
      <c r="A55" s="2">
        <v>45903</v>
      </c>
      <c r="B55" s="2">
        <v>46269</v>
      </c>
      <c r="C55" s="3" t="s">
        <v>218</v>
      </c>
      <c r="D55" s="3" t="s">
        <v>26</v>
      </c>
      <c r="E55" s="3" t="s">
        <v>147</v>
      </c>
      <c r="F55" s="3">
        <v>1039</v>
      </c>
      <c r="G55" s="3" t="s">
        <v>158</v>
      </c>
      <c r="H55" s="3" t="s">
        <v>41</v>
      </c>
      <c r="I55" s="3">
        <v>55</v>
      </c>
      <c r="J55" s="3" t="s">
        <v>53</v>
      </c>
      <c r="K55" s="3" t="s">
        <v>209</v>
      </c>
      <c r="L55" s="3" t="s">
        <v>93</v>
      </c>
      <c r="M55" s="3" t="s">
        <v>33</v>
      </c>
      <c r="N55" s="3" t="s">
        <v>101</v>
      </c>
      <c r="O55" s="3" t="s">
        <v>94</v>
      </c>
      <c r="P55" s="3" t="s">
        <v>36</v>
      </c>
      <c r="Q55" s="3">
        <v>1</v>
      </c>
      <c r="R55" s="3">
        <v>0</v>
      </c>
      <c r="S55" s="3">
        <v>6</v>
      </c>
      <c r="T55" s="3" t="s">
        <v>37</v>
      </c>
      <c r="U55" s="3">
        <v>2</v>
      </c>
      <c r="V55" s="3">
        <v>2</v>
      </c>
      <c r="W55" s="3">
        <v>7</v>
      </c>
      <c r="X55" s="3">
        <v>2025</v>
      </c>
      <c r="Y55" s="3" t="s">
        <v>110</v>
      </c>
    </row>
    <row r="56" spans="1:25" ht="15">
      <c r="A56" s="2">
        <v>45691</v>
      </c>
      <c r="B56" s="2">
        <v>46299</v>
      </c>
      <c r="C56" s="3" t="s">
        <v>219</v>
      </c>
      <c r="D56" s="3" t="s">
        <v>26</v>
      </c>
      <c r="E56" s="3" t="s">
        <v>186</v>
      </c>
      <c r="F56" s="3">
        <v>1040</v>
      </c>
      <c r="G56" s="3" t="s">
        <v>180</v>
      </c>
      <c r="H56" s="3" t="s">
        <v>29</v>
      </c>
      <c r="I56" s="3">
        <v>42</v>
      </c>
      <c r="J56" s="3" t="s">
        <v>30</v>
      </c>
      <c r="K56" s="3" t="s">
        <v>141</v>
      </c>
      <c r="L56" s="3" t="s">
        <v>55</v>
      </c>
      <c r="M56" s="3" t="s">
        <v>44</v>
      </c>
      <c r="N56" s="3" t="s">
        <v>34</v>
      </c>
      <c r="O56" s="3" t="s">
        <v>35</v>
      </c>
      <c r="P56" s="3" t="s">
        <v>36</v>
      </c>
      <c r="Q56" s="3">
        <v>3</v>
      </c>
      <c r="R56" s="3">
        <v>0</v>
      </c>
      <c r="S56" s="3">
        <v>4</v>
      </c>
      <c r="T56" s="3" t="s">
        <v>48</v>
      </c>
      <c r="U56" s="3">
        <v>2.1</v>
      </c>
      <c r="V56" s="3">
        <v>2</v>
      </c>
      <c r="W56" s="3">
        <v>7</v>
      </c>
      <c r="X56" s="3">
        <v>2025</v>
      </c>
      <c r="Y56" s="3" t="s">
        <v>49</v>
      </c>
    </row>
    <row r="57" spans="1:25" ht="15">
      <c r="A57" s="2">
        <v>45660</v>
      </c>
      <c r="B57" s="2">
        <v>46330</v>
      </c>
      <c r="C57" s="3" t="s">
        <v>220</v>
      </c>
      <c r="D57" s="3" t="s">
        <v>26</v>
      </c>
      <c r="E57" s="3" t="s">
        <v>221</v>
      </c>
      <c r="F57" s="3">
        <v>1041</v>
      </c>
      <c r="G57" s="3" t="s">
        <v>222</v>
      </c>
      <c r="H57" s="3" t="s">
        <v>41</v>
      </c>
      <c r="I57" s="3">
        <v>29</v>
      </c>
      <c r="J57" s="3" t="s">
        <v>107</v>
      </c>
      <c r="K57" s="3" t="s">
        <v>149</v>
      </c>
      <c r="L57" s="3" t="s">
        <v>32</v>
      </c>
      <c r="M57" s="3" t="s">
        <v>33</v>
      </c>
      <c r="N57" s="3" t="s">
        <v>45</v>
      </c>
      <c r="O57" s="3" t="s">
        <v>57</v>
      </c>
      <c r="P57" s="3" t="s">
        <v>36</v>
      </c>
      <c r="Q57" s="3">
        <v>4</v>
      </c>
      <c r="R57" s="3">
        <v>1</v>
      </c>
      <c r="S57" s="3">
        <v>1</v>
      </c>
      <c r="T57" s="3" t="s">
        <v>37</v>
      </c>
      <c r="U57" s="3">
        <v>2.2999999999999998</v>
      </c>
      <c r="V57" s="3">
        <v>2</v>
      </c>
      <c r="W57" s="3">
        <v>6</v>
      </c>
      <c r="X57" s="3">
        <v>2025</v>
      </c>
      <c r="Y57" s="3" t="s">
        <v>38</v>
      </c>
    </row>
    <row r="58" spans="1:25" ht="15">
      <c r="A58" s="2">
        <v>45691</v>
      </c>
      <c r="B58" s="2">
        <v>46360</v>
      </c>
      <c r="C58" s="3" t="s">
        <v>223</v>
      </c>
      <c r="D58" s="3" t="s">
        <v>26</v>
      </c>
      <c r="E58" s="3" t="s">
        <v>139</v>
      </c>
      <c r="F58" s="3">
        <v>1042</v>
      </c>
      <c r="G58" s="3" t="s">
        <v>224</v>
      </c>
      <c r="H58" s="3" t="s">
        <v>29</v>
      </c>
      <c r="I58" s="3">
        <v>36</v>
      </c>
      <c r="J58" s="3" t="s">
        <v>30</v>
      </c>
      <c r="K58" s="3" t="s">
        <v>225</v>
      </c>
      <c r="L58" s="3" t="s">
        <v>84</v>
      </c>
      <c r="M58" s="3" t="s">
        <v>44</v>
      </c>
      <c r="N58" s="3" t="s">
        <v>85</v>
      </c>
      <c r="O58" s="3" t="s">
        <v>109</v>
      </c>
      <c r="P58" s="3" t="s">
        <v>36</v>
      </c>
      <c r="Q58" s="3">
        <v>2</v>
      </c>
      <c r="R58" s="3">
        <v>0</v>
      </c>
      <c r="S58" s="3">
        <v>6</v>
      </c>
      <c r="T58" s="3" t="s">
        <v>37</v>
      </c>
      <c r="U58" s="3">
        <v>1.6</v>
      </c>
      <c r="V58" s="3">
        <v>2</v>
      </c>
      <c r="W58" s="3">
        <v>8</v>
      </c>
      <c r="X58" s="3">
        <v>2025</v>
      </c>
      <c r="Y58" s="3" t="s">
        <v>49</v>
      </c>
    </row>
    <row r="59" spans="1:25" ht="15">
      <c r="A59" s="2">
        <v>45719</v>
      </c>
      <c r="B59" s="2">
        <v>45661</v>
      </c>
      <c r="C59" s="3" t="s">
        <v>226</v>
      </c>
      <c r="D59" s="3" t="s">
        <v>26</v>
      </c>
      <c r="E59" s="3" t="s">
        <v>227</v>
      </c>
      <c r="F59" s="3">
        <v>1043</v>
      </c>
      <c r="G59" s="3" t="s">
        <v>228</v>
      </c>
      <c r="H59" s="3" t="s">
        <v>41</v>
      </c>
      <c r="I59" s="3">
        <v>48</v>
      </c>
      <c r="J59" s="3" t="s">
        <v>53</v>
      </c>
      <c r="K59" s="3" t="s">
        <v>229</v>
      </c>
      <c r="L59" s="3" t="s">
        <v>43</v>
      </c>
      <c r="M59" s="3" t="s">
        <v>33</v>
      </c>
      <c r="N59" s="3" t="s">
        <v>72</v>
      </c>
      <c r="O59" s="3" t="s">
        <v>86</v>
      </c>
      <c r="P59" s="3" t="s">
        <v>36</v>
      </c>
      <c r="Q59" s="3">
        <v>3</v>
      </c>
      <c r="R59" s="3">
        <v>0</v>
      </c>
      <c r="S59" s="3">
        <v>4</v>
      </c>
      <c r="T59" s="3" t="s">
        <v>37</v>
      </c>
      <c r="U59" s="3">
        <v>1.8</v>
      </c>
      <c r="V59" s="3">
        <v>2</v>
      </c>
      <c r="W59" s="3">
        <v>7</v>
      </c>
      <c r="X59" s="3">
        <v>2025</v>
      </c>
      <c r="Y59" s="3" t="s">
        <v>58</v>
      </c>
    </row>
    <row r="60" spans="1:25" ht="15">
      <c r="A60" s="2">
        <v>45750</v>
      </c>
      <c r="B60" s="2">
        <v>45692</v>
      </c>
      <c r="C60" s="3" t="s">
        <v>230</v>
      </c>
      <c r="D60" s="3" t="s">
        <v>26</v>
      </c>
      <c r="E60" s="3" t="s">
        <v>202</v>
      </c>
      <c r="F60" s="3">
        <v>1044</v>
      </c>
      <c r="G60" s="3" t="s">
        <v>231</v>
      </c>
      <c r="H60" s="3" t="s">
        <v>29</v>
      </c>
      <c r="I60" s="3">
        <v>34</v>
      </c>
      <c r="J60" s="3" t="s">
        <v>30</v>
      </c>
      <c r="K60" s="3" t="s">
        <v>232</v>
      </c>
      <c r="L60" s="3" t="s">
        <v>55</v>
      </c>
      <c r="M60" s="3" t="s">
        <v>44</v>
      </c>
      <c r="N60" s="3" t="s">
        <v>56</v>
      </c>
      <c r="O60" s="3" t="s">
        <v>35</v>
      </c>
      <c r="P60" s="3" t="s">
        <v>36</v>
      </c>
      <c r="Q60" s="3">
        <v>4</v>
      </c>
      <c r="R60" s="3">
        <v>0</v>
      </c>
      <c r="S60" s="3">
        <v>0</v>
      </c>
      <c r="T60" s="3" t="s">
        <v>48</v>
      </c>
      <c r="U60" s="3">
        <v>1.4</v>
      </c>
      <c r="V60" s="3">
        <v>2</v>
      </c>
      <c r="W60" s="3">
        <v>4</v>
      </c>
      <c r="X60" s="3">
        <v>2025</v>
      </c>
      <c r="Y60" s="3" t="s">
        <v>67</v>
      </c>
    </row>
    <row r="61" spans="1:25" ht="15">
      <c r="A61" s="2">
        <v>45780</v>
      </c>
      <c r="B61" s="2">
        <v>45720</v>
      </c>
      <c r="C61" s="3" t="s">
        <v>233</v>
      </c>
      <c r="D61" s="3" t="s">
        <v>26</v>
      </c>
      <c r="E61" s="3" t="s">
        <v>234</v>
      </c>
      <c r="F61" s="3">
        <v>1045</v>
      </c>
      <c r="G61" s="3" t="s">
        <v>235</v>
      </c>
      <c r="H61" s="3" t="s">
        <v>41</v>
      </c>
      <c r="I61" s="3">
        <v>57</v>
      </c>
      <c r="J61" s="3" t="s">
        <v>53</v>
      </c>
      <c r="K61" s="3" t="s">
        <v>213</v>
      </c>
      <c r="L61" s="3" t="s">
        <v>84</v>
      </c>
      <c r="M61" s="3" t="s">
        <v>33</v>
      </c>
      <c r="N61" s="3" t="s">
        <v>85</v>
      </c>
      <c r="O61" s="3" t="s">
        <v>57</v>
      </c>
      <c r="P61" s="3" t="s">
        <v>36</v>
      </c>
      <c r="Q61" s="3">
        <v>3</v>
      </c>
      <c r="R61" s="3">
        <v>1</v>
      </c>
      <c r="S61" s="3">
        <v>2</v>
      </c>
      <c r="T61" s="3" t="s">
        <v>37</v>
      </c>
      <c r="U61" s="3">
        <v>2.7</v>
      </c>
      <c r="V61" s="3">
        <v>3</v>
      </c>
      <c r="W61" s="3">
        <v>6</v>
      </c>
      <c r="X61" s="3">
        <v>2025</v>
      </c>
      <c r="Y61" s="3" t="s">
        <v>74</v>
      </c>
    </row>
    <row r="62" spans="1:25" ht="15">
      <c r="A62" s="2">
        <v>45811</v>
      </c>
      <c r="B62" s="2">
        <v>45751</v>
      </c>
      <c r="C62" s="3" t="s">
        <v>150</v>
      </c>
      <c r="D62" s="3" t="s">
        <v>26</v>
      </c>
      <c r="E62" s="3" t="s">
        <v>147</v>
      </c>
      <c r="F62" s="3">
        <v>1046</v>
      </c>
      <c r="G62" s="3" t="s">
        <v>236</v>
      </c>
      <c r="H62" s="3" t="s">
        <v>29</v>
      </c>
      <c r="I62" s="3">
        <v>39</v>
      </c>
      <c r="J62" s="3" t="s">
        <v>30</v>
      </c>
      <c r="K62" s="3" t="s">
        <v>213</v>
      </c>
      <c r="L62" s="3" t="s">
        <v>93</v>
      </c>
      <c r="M62" s="3" t="s">
        <v>44</v>
      </c>
      <c r="N62" s="3" t="s">
        <v>45</v>
      </c>
      <c r="O62" s="3" t="s">
        <v>46</v>
      </c>
      <c r="P62" s="3" t="s">
        <v>36</v>
      </c>
      <c r="Q62" s="3">
        <v>2</v>
      </c>
      <c r="R62" s="3">
        <v>0</v>
      </c>
      <c r="S62" s="3">
        <v>2</v>
      </c>
      <c r="T62" s="3" t="s">
        <v>37</v>
      </c>
      <c r="U62" s="3">
        <v>1.5</v>
      </c>
      <c r="V62" s="3">
        <v>2</v>
      </c>
      <c r="W62" s="3">
        <v>4</v>
      </c>
      <c r="X62" s="3">
        <v>2025</v>
      </c>
      <c r="Y62" s="3" t="s">
        <v>87</v>
      </c>
    </row>
    <row r="63" spans="1:25" ht="15">
      <c r="A63" s="2">
        <v>45841</v>
      </c>
      <c r="B63" s="2">
        <v>45781</v>
      </c>
      <c r="C63" s="3" t="s">
        <v>237</v>
      </c>
      <c r="D63" s="3" t="s">
        <v>26</v>
      </c>
      <c r="E63" s="3" t="s">
        <v>157</v>
      </c>
      <c r="F63" s="3">
        <v>1047</v>
      </c>
      <c r="G63" s="3" t="s">
        <v>238</v>
      </c>
      <c r="H63" s="3" t="s">
        <v>41</v>
      </c>
      <c r="I63" s="3">
        <v>31</v>
      </c>
      <c r="J63" s="3" t="s">
        <v>107</v>
      </c>
      <c r="K63" s="3" t="s">
        <v>239</v>
      </c>
      <c r="L63" s="3" t="s">
        <v>32</v>
      </c>
      <c r="M63" s="3" t="s">
        <v>33</v>
      </c>
      <c r="N63" s="3" t="s">
        <v>34</v>
      </c>
      <c r="O63" s="3" t="s">
        <v>109</v>
      </c>
      <c r="P63" s="3" t="s">
        <v>36</v>
      </c>
      <c r="Q63" s="3">
        <v>4</v>
      </c>
      <c r="R63" s="3">
        <v>0</v>
      </c>
      <c r="S63" s="3">
        <v>6</v>
      </c>
      <c r="T63" s="3" t="s">
        <v>37</v>
      </c>
      <c r="U63" s="3">
        <v>2.1</v>
      </c>
      <c r="V63" s="3">
        <v>2</v>
      </c>
      <c r="W63" s="3">
        <v>10</v>
      </c>
      <c r="X63" s="3">
        <v>2025</v>
      </c>
      <c r="Y63" s="3" t="s">
        <v>95</v>
      </c>
    </row>
    <row r="64" spans="1:25" ht="15">
      <c r="A64" s="2">
        <v>45872</v>
      </c>
      <c r="B64" s="2">
        <v>45812</v>
      </c>
      <c r="C64" s="3" t="s">
        <v>240</v>
      </c>
      <c r="D64" s="3" t="s">
        <v>26</v>
      </c>
      <c r="E64" s="3" t="s">
        <v>129</v>
      </c>
      <c r="F64" s="3">
        <v>1048</v>
      </c>
      <c r="G64" s="3" t="s">
        <v>241</v>
      </c>
      <c r="H64" s="3" t="s">
        <v>29</v>
      </c>
      <c r="I64" s="3">
        <v>53</v>
      </c>
      <c r="J64" s="3" t="s">
        <v>53</v>
      </c>
      <c r="K64" s="3" t="s">
        <v>239</v>
      </c>
      <c r="L64" s="3" t="s">
        <v>43</v>
      </c>
      <c r="M64" s="3" t="s">
        <v>44</v>
      </c>
      <c r="N64" s="3" t="s">
        <v>72</v>
      </c>
      <c r="O64" s="3" t="s">
        <v>86</v>
      </c>
      <c r="P64" s="3" t="s">
        <v>36</v>
      </c>
      <c r="Q64" s="3">
        <v>3</v>
      </c>
      <c r="R64" s="3">
        <v>0</v>
      </c>
      <c r="S64" s="3">
        <v>0</v>
      </c>
      <c r="T64" s="3" t="s">
        <v>48</v>
      </c>
      <c r="U64" s="3">
        <v>1.9</v>
      </c>
      <c r="V64" s="3">
        <v>2</v>
      </c>
      <c r="W64" s="3">
        <v>3</v>
      </c>
      <c r="X64" s="3">
        <v>2025</v>
      </c>
      <c r="Y64" s="3" t="s">
        <v>103</v>
      </c>
    </row>
    <row r="65" spans="1:25" ht="15">
      <c r="A65" s="2">
        <v>45903</v>
      </c>
      <c r="B65" s="2">
        <v>45662</v>
      </c>
      <c r="C65" s="3" t="s">
        <v>79</v>
      </c>
      <c r="D65" s="3" t="s">
        <v>26</v>
      </c>
      <c r="E65" s="3" t="s">
        <v>193</v>
      </c>
      <c r="F65" s="3">
        <v>1049</v>
      </c>
      <c r="G65" s="3" t="s">
        <v>242</v>
      </c>
      <c r="H65" s="3" t="s">
        <v>41</v>
      </c>
      <c r="I65" s="3">
        <v>45</v>
      </c>
      <c r="J65" s="3" t="s">
        <v>53</v>
      </c>
      <c r="K65" s="3" t="s">
        <v>239</v>
      </c>
      <c r="L65" s="3" t="s">
        <v>55</v>
      </c>
      <c r="M65" s="3" t="s">
        <v>33</v>
      </c>
      <c r="N65" s="3" t="s">
        <v>56</v>
      </c>
      <c r="O65" s="3" t="s">
        <v>94</v>
      </c>
      <c r="P65" s="3" t="s">
        <v>36</v>
      </c>
      <c r="Q65" s="3">
        <v>4</v>
      </c>
      <c r="R65" s="3">
        <v>1</v>
      </c>
      <c r="S65" s="3">
        <v>3</v>
      </c>
      <c r="T65" s="3" t="s">
        <v>37</v>
      </c>
      <c r="U65" s="3">
        <v>2.6</v>
      </c>
      <c r="V65" s="3">
        <v>3</v>
      </c>
      <c r="W65" s="3">
        <v>8</v>
      </c>
      <c r="X65" s="3">
        <v>2025</v>
      </c>
      <c r="Y65" s="3" t="s">
        <v>110</v>
      </c>
    </row>
    <row r="66" spans="1:25" ht="15">
      <c r="A66" s="2">
        <v>45780</v>
      </c>
      <c r="B66" s="2">
        <v>45693</v>
      </c>
      <c r="C66" s="3" t="s">
        <v>111</v>
      </c>
      <c r="D66" s="3" t="s">
        <v>26</v>
      </c>
      <c r="E66" s="3" t="s">
        <v>164</v>
      </c>
      <c r="F66" s="3">
        <v>1050</v>
      </c>
      <c r="G66" s="3" t="s">
        <v>243</v>
      </c>
      <c r="H66" s="3" t="s">
        <v>29</v>
      </c>
      <c r="I66" s="3">
        <v>60</v>
      </c>
      <c r="J66" s="3" t="s">
        <v>62</v>
      </c>
      <c r="K66" s="3" t="s">
        <v>244</v>
      </c>
      <c r="L66" s="3" t="s">
        <v>84</v>
      </c>
      <c r="M66" s="3" t="s">
        <v>44</v>
      </c>
      <c r="N66" s="3" t="s">
        <v>85</v>
      </c>
      <c r="O66" s="3" t="s">
        <v>57</v>
      </c>
      <c r="P66" s="3" t="s">
        <v>36</v>
      </c>
      <c r="Q66" s="3">
        <v>2</v>
      </c>
      <c r="R66" s="3">
        <v>0</v>
      </c>
      <c r="S66" s="3">
        <v>0</v>
      </c>
      <c r="T66" s="3" t="s">
        <v>48</v>
      </c>
      <c r="U66" s="3">
        <v>2.4</v>
      </c>
      <c r="V66" s="3">
        <v>2</v>
      </c>
      <c r="W66" s="3">
        <v>2</v>
      </c>
      <c r="X66" s="3">
        <v>2025</v>
      </c>
      <c r="Y66" s="3" t="s">
        <v>74</v>
      </c>
    </row>
    <row r="67" spans="1:25" ht="15">
      <c r="A67" s="2">
        <v>46023</v>
      </c>
      <c r="B67" s="2">
        <v>46143</v>
      </c>
      <c r="C67" s="3" t="s">
        <v>104</v>
      </c>
      <c r="D67" s="3" t="s">
        <v>26</v>
      </c>
      <c r="E67" s="3" t="s">
        <v>105</v>
      </c>
      <c r="F67" s="3">
        <v>1001</v>
      </c>
      <c r="G67" s="3" t="s">
        <v>245</v>
      </c>
      <c r="H67" s="3" t="s">
        <v>29</v>
      </c>
      <c r="I67" s="3">
        <v>34</v>
      </c>
      <c r="J67" s="3" t="s">
        <v>30</v>
      </c>
      <c r="K67" s="3" t="s">
        <v>239</v>
      </c>
      <c r="L67" s="3" t="s">
        <v>84</v>
      </c>
      <c r="M67" s="3" t="s">
        <v>33</v>
      </c>
      <c r="N67" s="3" t="s">
        <v>45</v>
      </c>
      <c r="O67" s="3" t="s">
        <v>109</v>
      </c>
      <c r="P67" s="3">
        <v>4</v>
      </c>
      <c r="Q67" s="3">
        <v>4</v>
      </c>
      <c r="R67" s="3">
        <v>0</v>
      </c>
      <c r="S67" s="3">
        <v>6</v>
      </c>
      <c r="T67" s="3" t="s">
        <v>37</v>
      </c>
      <c r="U67" s="3">
        <v>2000</v>
      </c>
      <c r="V67" s="3">
        <v>2</v>
      </c>
      <c r="W67" s="3">
        <v>10</v>
      </c>
      <c r="X67" s="3">
        <v>2026</v>
      </c>
      <c r="Y67" s="3" t="s">
        <v>38</v>
      </c>
    </row>
    <row r="68" spans="1:25" ht="15">
      <c r="A68" s="2">
        <v>46054</v>
      </c>
      <c r="B68" s="2">
        <v>46174</v>
      </c>
      <c r="C68" s="3" t="s">
        <v>246</v>
      </c>
      <c r="D68" s="3" t="s">
        <v>26</v>
      </c>
      <c r="E68" s="3" t="s">
        <v>80</v>
      </c>
      <c r="F68" s="3">
        <v>1002</v>
      </c>
      <c r="G68" s="3" t="s">
        <v>247</v>
      </c>
      <c r="H68" s="3" t="s">
        <v>41</v>
      </c>
      <c r="I68" s="3">
        <v>12</v>
      </c>
      <c r="J68" s="3" t="s">
        <v>99</v>
      </c>
      <c r="K68" s="3" t="s">
        <v>239</v>
      </c>
      <c r="L68" s="3" t="s">
        <v>93</v>
      </c>
      <c r="M68" s="3" t="s">
        <v>44</v>
      </c>
      <c r="N68" s="3" t="s">
        <v>45</v>
      </c>
      <c r="O68" s="3" t="s">
        <v>35</v>
      </c>
      <c r="P68" s="3">
        <v>3</v>
      </c>
      <c r="Q68" s="3">
        <v>1</v>
      </c>
      <c r="R68" s="3">
        <v>0</v>
      </c>
      <c r="S68" s="3">
        <v>1</v>
      </c>
      <c r="T68" s="3" t="s">
        <v>48</v>
      </c>
      <c r="U68" s="3">
        <v>1500</v>
      </c>
      <c r="V68" s="3">
        <v>1</v>
      </c>
      <c r="W68" s="3">
        <v>2</v>
      </c>
      <c r="X68" s="3">
        <v>2026</v>
      </c>
      <c r="Y68" s="3" t="s">
        <v>49</v>
      </c>
    </row>
    <row r="69" spans="1:25" ht="15">
      <c r="A69" s="2">
        <v>46082</v>
      </c>
      <c r="B69" s="2">
        <v>46204</v>
      </c>
      <c r="C69" s="3" t="s">
        <v>248</v>
      </c>
      <c r="D69" s="3" t="s">
        <v>26</v>
      </c>
      <c r="E69" s="3" t="s">
        <v>97</v>
      </c>
      <c r="F69" s="3">
        <v>1003</v>
      </c>
      <c r="G69" s="3" t="s">
        <v>249</v>
      </c>
      <c r="H69" s="3" t="s">
        <v>29</v>
      </c>
      <c r="I69" s="3">
        <v>67</v>
      </c>
      <c r="J69" s="3" t="s">
        <v>62</v>
      </c>
      <c r="K69" s="3" t="s">
        <v>250</v>
      </c>
      <c r="L69" s="3" t="s">
        <v>55</v>
      </c>
      <c r="M69" s="3" t="s">
        <v>33</v>
      </c>
      <c r="N69" s="3" t="s">
        <v>34</v>
      </c>
      <c r="O69" s="3" t="s">
        <v>57</v>
      </c>
      <c r="P69" s="3">
        <v>5</v>
      </c>
      <c r="Q69" s="3">
        <v>5</v>
      </c>
      <c r="R69" s="3">
        <v>1</v>
      </c>
      <c r="S69" s="3">
        <v>3</v>
      </c>
      <c r="T69" s="3" t="s">
        <v>37</v>
      </c>
      <c r="U69" s="3">
        <v>5000</v>
      </c>
      <c r="V69" s="3">
        <v>3</v>
      </c>
      <c r="W69" s="3">
        <v>9</v>
      </c>
      <c r="X69" s="3">
        <v>2026</v>
      </c>
      <c r="Y69" s="3" t="s">
        <v>58</v>
      </c>
    </row>
    <row r="70" spans="1:25" ht="15">
      <c r="A70" s="2">
        <v>46113</v>
      </c>
      <c r="B70" s="2">
        <v>46235</v>
      </c>
      <c r="C70" s="3" t="s">
        <v>251</v>
      </c>
      <c r="D70" s="3" t="s">
        <v>26</v>
      </c>
      <c r="E70" s="3" t="s">
        <v>193</v>
      </c>
      <c r="F70" s="3">
        <v>1004</v>
      </c>
      <c r="G70" s="3" t="s">
        <v>222</v>
      </c>
      <c r="H70" s="3" t="s">
        <v>41</v>
      </c>
      <c r="I70" s="3">
        <v>28</v>
      </c>
      <c r="J70" s="3" t="s">
        <v>82</v>
      </c>
      <c r="K70" s="3" t="s">
        <v>76</v>
      </c>
      <c r="L70" s="3" t="s">
        <v>32</v>
      </c>
      <c r="M70" s="3" t="s">
        <v>44</v>
      </c>
      <c r="N70" s="3" t="s">
        <v>85</v>
      </c>
      <c r="O70" s="3" t="s">
        <v>86</v>
      </c>
      <c r="P70" s="3">
        <v>4</v>
      </c>
      <c r="Q70" s="3">
        <v>2</v>
      </c>
      <c r="R70" s="3">
        <v>0</v>
      </c>
      <c r="S70" s="3">
        <v>0</v>
      </c>
      <c r="T70" s="3" t="s">
        <v>48</v>
      </c>
      <c r="U70" s="3">
        <v>2500</v>
      </c>
      <c r="V70" s="3">
        <v>2</v>
      </c>
      <c r="W70" s="3">
        <v>2</v>
      </c>
      <c r="X70" s="3">
        <v>2026</v>
      </c>
      <c r="Y70" s="3" t="s">
        <v>67</v>
      </c>
    </row>
    <row r="71" spans="1:25" ht="15">
      <c r="A71" s="2">
        <v>46143</v>
      </c>
      <c r="B71" s="2">
        <v>46266</v>
      </c>
      <c r="C71" s="3" t="s">
        <v>79</v>
      </c>
      <c r="D71" s="3" t="s">
        <v>26</v>
      </c>
      <c r="E71" s="3" t="s">
        <v>252</v>
      </c>
      <c r="F71" s="3">
        <v>1005</v>
      </c>
      <c r="G71" s="3" t="s">
        <v>253</v>
      </c>
      <c r="H71" s="3" t="s">
        <v>29</v>
      </c>
      <c r="I71" s="3">
        <v>45</v>
      </c>
      <c r="J71" s="3" t="s">
        <v>30</v>
      </c>
      <c r="K71" s="3" t="s">
        <v>145</v>
      </c>
      <c r="L71" s="3" t="s">
        <v>43</v>
      </c>
      <c r="M71" s="3" t="s">
        <v>33</v>
      </c>
      <c r="N71" s="3" t="s">
        <v>45</v>
      </c>
      <c r="O71" s="3" t="s">
        <v>109</v>
      </c>
      <c r="P71" s="3">
        <v>3</v>
      </c>
      <c r="Q71" s="3">
        <v>3</v>
      </c>
      <c r="R71" s="3">
        <v>0</v>
      </c>
      <c r="S71" s="3">
        <v>6</v>
      </c>
      <c r="T71" s="3" t="s">
        <v>37</v>
      </c>
      <c r="U71" s="3">
        <v>3000</v>
      </c>
      <c r="V71" s="3">
        <v>1</v>
      </c>
      <c r="W71" s="3">
        <v>9</v>
      </c>
      <c r="X71" s="3">
        <v>2026</v>
      </c>
      <c r="Y71" s="3" t="s">
        <v>74</v>
      </c>
    </row>
    <row r="72" spans="1:25" ht="15">
      <c r="A72" s="2">
        <v>46174</v>
      </c>
      <c r="B72" s="2">
        <v>46296</v>
      </c>
      <c r="C72" s="3" t="s">
        <v>254</v>
      </c>
      <c r="D72" s="3" t="s">
        <v>26</v>
      </c>
      <c r="E72" s="3" t="s">
        <v>123</v>
      </c>
      <c r="F72" s="3">
        <v>1006</v>
      </c>
      <c r="G72" s="3" t="s">
        <v>255</v>
      </c>
      <c r="H72" s="3" t="s">
        <v>41</v>
      </c>
      <c r="I72" s="3">
        <v>6</v>
      </c>
      <c r="J72" s="3" t="s">
        <v>99</v>
      </c>
      <c r="K72" s="3" t="s">
        <v>92</v>
      </c>
      <c r="L72" s="3" t="s">
        <v>93</v>
      </c>
      <c r="M72" s="3" t="s">
        <v>44</v>
      </c>
      <c r="N72" s="3" t="s">
        <v>45</v>
      </c>
      <c r="O72" s="3" t="s">
        <v>35</v>
      </c>
      <c r="P72" s="3">
        <v>4</v>
      </c>
      <c r="Q72" s="3">
        <v>1</v>
      </c>
      <c r="R72" s="3">
        <v>0</v>
      </c>
      <c r="S72" s="3">
        <v>2</v>
      </c>
      <c r="T72" s="3" t="s">
        <v>48</v>
      </c>
      <c r="U72" s="3">
        <v>1200</v>
      </c>
      <c r="V72" s="3">
        <v>0</v>
      </c>
      <c r="W72" s="3">
        <v>3</v>
      </c>
      <c r="X72" s="3">
        <v>2026</v>
      </c>
      <c r="Y72" s="3" t="s">
        <v>87</v>
      </c>
    </row>
    <row r="73" spans="1:25" ht="15">
      <c r="A73" s="2">
        <v>46204</v>
      </c>
      <c r="B73" s="2">
        <v>46327</v>
      </c>
      <c r="C73" s="3" t="s">
        <v>138</v>
      </c>
      <c r="D73" s="3" t="s">
        <v>26</v>
      </c>
      <c r="E73" s="3" t="s">
        <v>227</v>
      </c>
      <c r="F73" s="3">
        <v>1007</v>
      </c>
      <c r="G73" s="3" t="s">
        <v>256</v>
      </c>
      <c r="H73" s="3" t="s">
        <v>29</v>
      </c>
      <c r="I73" s="3">
        <v>55</v>
      </c>
      <c r="J73" s="3" t="s">
        <v>53</v>
      </c>
      <c r="K73" s="3" t="s">
        <v>108</v>
      </c>
      <c r="L73" s="3" t="s">
        <v>55</v>
      </c>
      <c r="M73" s="3" t="s">
        <v>33</v>
      </c>
      <c r="N73" s="3" t="s">
        <v>34</v>
      </c>
      <c r="O73" s="3" t="s">
        <v>57</v>
      </c>
      <c r="P73" s="3">
        <v>2</v>
      </c>
      <c r="Q73" s="3">
        <v>5</v>
      </c>
      <c r="R73" s="3">
        <v>1</v>
      </c>
      <c r="S73" s="3">
        <v>3</v>
      </c>
      <c r="T73" s="3" t="s">
        <v>37</v>
      </c>
      <c r="U73" s="3">
        <v>4000</v>
      </c>
      <c r="V73" s="3">
        <v>2</v>
      </c>
      <c r="W73" s="3">
        <v>9</v>
      </c>
      <c r="X73" s="3">
        <v>2026</v>
      </c>
      <c r="Y73" s="3" t="s">
        <v>95</v>
      </c>
    </row>
    <row r="74" spans="1:25" ht="15">
      <c r="A74" s="2">
        <v>46235</v>
      </c>
      <c r="B74" s="2">
        <v>46357</v>
      </c>
      <c r="C74" s="3" t="s">
        <v>142</v>
      </c>
      <c r="D74" s="3" t="s">
        <v>26</v>
      </c>
      <c r="E74" s="3" t="s">
        <v>129</v>
      </c>
      <c r="F74" s="3">
        <v>1008</v>
      </c>
      <c r="G74" s="3" t="s">
        <v>257</v>
      </c>
      <c r="H74" s="3" t="s">
        <v>41</v>
      </c>
      <c r="I74" s="3">
        <v>19</v>
      </c>
      <c r="J74" s="3" t="s">
        <v>91</v>
      </c>
      <c r="K74" s="3" t="s">
        <v>149</v>
      </c>
      <c r="L74" s="3" t="s">
        <v>84</v>
      </c>
      <c r="M74" s="3" t="s">
        <v>44</v>
      </c>
      <c r="N74" s="3" t="s">
        <v>85</v>
      </c>
      <c r="O74" s="3" t="s">
        <v>86</v>
      </c>
      <c r="P74" s="3">
        <v>4</v>
      </c>
      <c r="Q74" s="3">
        <v>1</v>
      </c>
      <c r="R74" s="3">
        <v>0</v>
      </c>
      <c r="S74" s="3">
        <v>5</v>
      </c>
      <c r="T74" s="3" t="s">
        <v>48</v>
      </c>
      <c r="U74" s="3">
        <v>1600</v>
      </c>
      <c r="V74" s="3">
        <v>1</v>
      </c>
      <c r="W74" s="3">
        <v>6</v>
      </c>
      <c r="X74" s="3">
        <v>2026</v>
      </c>
      <c r="Y74" s="3" t="s">
        <v>103</v>
      </c>
    </row>
    <row r="75" spans="1:25" ht="15">
      <c r="A75" s="2">
        <v>46266</v>
      </c>
      <c r="B75" s="2">
        <v>45658</v>
      </c>
      <c r="C75" s="3" t="s">
        <v>258</v>
      </c>
      <c r="D75" s="3" t="s">
        <v>26</v>
      </c>
      <c r="E75" s="3" t="s">
        <v>259</v>
      </c>
      <c r="F75" s="3">
        <v>1009</v>
      </c>
      <c r="G75" s="3" t="s">
        <v>260</v>
      </c>
      <c r="H75" s="3" t="s">
        <v>29</v>
      </c>
      <c r="I75" s="3">
        <v>30</v>
      </c>
      <c r="J75" s="3" t="s">
        <v>107</v>
      </c>
      <c r="K75" s="3" t="s">
        <v>76</v>
      </c>
      <c r="L75" s="3" t="s">
        <v>43</v>
      </c>
      <c r="M75" s="3" t="s">
        <v>33</v>
      </c>
      <c r="N75" s="3" t="s">
        <v>45</v>
      </c>
      <c r="O75" s="3" t="s">
        <v>109</v>
      </c>
      <c r="P75" s="3">
        <v>3</v>
      </c>
      <c r="Q75" s="3">
        <v>4</v>
      </c>
      <c r="R75" s="3">
        <v>0</v>
      </c>
      <c r="S75" s="3">
        <v>6</v>
      </c>
      <c r="T75" s="3" t="s">
        <v>37</v>
      </c>
      <c r="U75" s="3">
        <v>2800</v>
      </c>
      <c r="V75" s="3">
        <v>1</v>
      </c>
      <c r="W75" s="3">
        <v>10</v>
      </c>
      <c r="X75" s="3">
        <v>2026</v>
      </c>
      <c r="Y75" s="3" t="s">
        <v>110</v>
      </c>
    </row>
    <row r="76" spans="1:25" ht="15">
      <c r="A76" s="2">
        <v>46296</v>
      </c>
      <c r="B76" s="2">
        <v>45689</v>
      </c>
      <c r="C76" s="3" t="s">
        <v>261</v>
      </c>
      <c r="D76" s="3" t="s">
        <v>26</v>
      </c>
      <c r="E76" s="3" t="s">
        <v>112</v>
      </c>
      <c r="F76" s="3">
        <v>1010</v>
      </c>
      <c r="G76" s="3" t="s">
        <v>262</v>
      </c>
      <c r="H76" s="3" t="s">
        <v>41</v>
      </c>
      <c r="I76" s="3">
        <v>42</v>
      </c>
      <c r="J76" s="3" t="s">
        <v>30</v>
      </c>
      <c r="K76" s="3" t="s">
        <v>263</v>
      </c>
      <c r="L76" s="3" t="s">
        <v>93</v>
      </c>
      <c r="M76" s="3" t="s">
        <v>44</v>
      </c>
      <c r="N76" s="3" t="s">
        <v>45</v>
      </c>
      <c r="O76" s="3" t="s">
        <v>35</v>
      </c>
      <c r="P76" s="3">
        <v>5</v>
      </c>
      <c r="Q76" s="3">
        <v>2</v>
      </c>
      <c r="R76" s="3">
        <v>0</v>
      </c>
      <c r="S76" s="3">
        <v>2</v>
      </c>
      <c r="T76" s="3" t="s">
        <v>48</v>
      </c>
      <c r="U76" s="3">
        <v>1800</v>
      </c>
      <c r="V76" s="3">
        <v>2</v>
      </c>
      <c r="W76" s="3">
        <v>4</v>
      </c>
      <c r="X76" s="3">
        <v>2026</v>
      </c>
      <c r="Y76" s="3" t="s">
        <v>116</v>
      </c>
    </row>
    <row r="77" spans="1:25" ht="15">
      <c r="A77" s="2">
        <v>46327</v>
      </c>
      <c r="B77" s="2">
        <v>45717</v>
      </c>
      <c r="C77" s="3" t="s">
        <v>174</v>
      </c>
      <c r="D77" s="3" t="s">
        <v>26</v>
      </c>
      <c r="E77" s="3" t="s">
        <v>264</v>
      </c>
      <c r="F77" s="3">
        <v>1011</v>
      </c>
      <c r="G77" s="3" t="s">
        <v>265</v>
      </c>
      <c r="H77" s="3" t="s">
        <v>29</v>
      </c>
      <c r="I77" s="3">
        <v>72</v>
      </c>
      <c r="J77" s="3" t="s">
        <v>62</v>
      </c>
      <c r="K77" s="3" t="s">
        <v>114</v>
      </c>
      <c r="L77" s="3" t="s">
        <v>55</v>
      </c>
      <c r="M77" s="3" t="s">
        <v>33</v>
      </c>
      <c r="N77" s="3" t="s">
        <v>34</v>
      </c>
      <c r="O77" s="3" t="s">
        <v>86</v>
      </c>
      <c r="P77" s="3">
        <v>4</v>
      </c>
      <c r="Q77" s="3">
        <v>5</v>
      </c>
      <c r="R77" s="3">
        <v>0</v>
      </c>
      <c r="S77" s="3">
        <v>3</v>
      </c>
      <c r="T77" s="3" t="s">
        <v>37</v>
      </c>
      <c r="U77" s="3">
        <v>6000</v>
      </c>
      <c r="V77" s="3">
        <v>2</v>
      </c>
      <c r="W77" s="3">
        <v>8</v>
      </c>
      <c r="X77" s="3">
        <v>2026</v>
      </c>
      <c r="Y77" s="3" t="s">
        <v>127</v>
      </c>
    </row>
    <row r="78" spans="1:25" ht="15">
      <c r="A78" s="2">
        <v>46357</v>
      </c>
      <c r="B78" s="2">
        <v>45748</v>
      </c>
      <c r="C78" s="3" t="s">
        <v>189</v>
      </c>
      <c r="D78" s="3" t="s">
        <v>26</v>
      </c>
      <c r="E78" s="3" t="s">
        <v>154</v>
      </c>
      <c r="F78" s="3">
        <v>1012</v>
      </c>
      <c r="G78" s="3" t="s">
        <v>266</v>
      </c>
      <c r="H78" s="3" t="s">
        <v>41</v>
      </c>
      <c r="I78" s="3">
        <v>8</v>
      </c>
      <c r="J78" s="3" t="s">
        <v>99</v>
      </c>
      <c r="K78" s="3" t="s">
        <v>267</v>
      </c>
      <c r="L78" s="3" t="s">
        <v>93</v>
      </c>
      <c r="M78" s="3" t="s">
        <v>44</v>
      </c>
      <c r="N78" s="3" t="s">
        <v>45</v>
      </c>
      <c r="O78" s="3" t="s">
        <v>57</v>
      </c>
      <c r="P78" s="3">
        <v>5</v>
      </c>
      <c r="Q78" s="3">
        <v>1</v>
      </c>
      <c r="R78" s="3">
        <v>0</v>
      </c>
      <c r="S78" s="3">
        <v>3</v>
      </c>
      <c r="T78" s="3" t="s">
        <v>48</v>
      </c>
      <c r="U78" s="3">
        <v>1400</v>
      </c>
      <c r="V78" s="3">
        <v>1</v>
      </c>
      <c r="W78" s="3">
        <v>4</v>
      </c>
      <c r="X78" s="3">
        <v>2026</v>
      </c>
      <c r="Y78" s="3" t="s">
        <v>133</v>
      </c>
    </row>
    <row r="79" spans="1:25" ht="15">
      <c r="A79" s="2">
        <v>45658</v>
      </c>
      <c r="B79" s="2">
        <v>45778</v>
      </c>
      <c r="C79" s="3" t="s">
        <v>268</v>
      </c>
      <c r="D79" s="3" t="s">
        <v>26</v>
      </c>
      <c r="E79" s="3" t="s">
        <v>51</v>
      </c>
      <c r="F79" s="3">
        <v>1013</v>
      </c>
      <c r="G79" s="3" t="s">
        <v>269</v>
      </c>
      <c r="H79" s="3" t="s">
        <v>29</v>
      </c>
      <c r="I79" s="3">
        <v>48</v>
      </c>
      <c r="J79" s="3" t="s">
        <v>53</v>
      </c>
      <c r="K79" s="3" t="s">
        <v>131</v>
      </c>
      <c r="L79" s="3" t="s">
        <v>32</v>
      </c>
      <c r="M79" s="3" t="s">
        <v>33</v>
      </c>
      <c r="N79" s="3" t="s">
        <v>45</v>
      </c>
      <c r="O79" s="3" t="s">
        <v>109</v>
      </c>
      <c r="P79" s="3">
        <v>3</v>
      </c>
      <c r="Q79" s="3">
        <v>3</v>
      </c>
      <c r="R79" s="3">
        <v>0</v>
      </c>
      <c r="S79" s="3">
        <v>4</v>
      </c>
      <c r="T79" s="3" t="s">
        <v>37</v>
      </c>
      <c r="U79" s="3">
        <v>3500</v>
      </c>
      <c r="V79" s="3">
        <v>1</v>
      </c>
      <c r="W79" s="3">
        <v>7</v>
      </c>
      <c r="X79" s="3">
        <v>2025</v>
      </c>
      <c r="Y79" s="3" t="s">
        <v>38</v>
      </c>
    </row>
    <row r="80" spans="1:25" ht="15">
      <c r="A80" s="2">
        <v>45689</v>
      </c>
      <c r="B80" s="2">
        <v>45809</v>
      </c>
      <c r="C80" s="3" t="s">
        <v>156</v>
      </c>
      <c r="D80" s="3" t="s">
        <v>26</v>
      </c>
      <c r="E80" s="3" t="s">
        <v>157</v>
      </c>
      <c r="F80" s="3">
        <v>1014</v>
      </c>
      <c r="G80" s="3" t="s">
        <v>270</v>
      </c>
      <c r="H80" s="3" t="s">
        <v>41</v>
      </c>
      <c r="I80" s="3">
        <v>14</v>
      </c>
      <c r="J80" s="3" t="s">
        <v>99</v>
      </c>
      <c r="K80" s="3" t="s">
        <v>92</v>
      </c>
      <c r="L80" s="3" t="s">
        <v>93</v>
      </c>
      <c r="M80" s="3" t="s">
        <v>44</v>
      </c>
      <c r="N80" s="3" t="s">
        <v>45</v>
      </c>
      <c r="O80" s="3" t="s">
        <v>35</v>
      </c>
      <c r="P80" s="3">
        <v>4</v>
      </c>
      <c r="Q80" s="3">
        <v>1</v>
      </c>
      <c r="R80" s="3">
        <v>0</v>
      </c>
      <c r="S80" s="3">
        <v>4</v>
      </c>
      <c r="T80" s="3" t="s">
        <v>48</v>
      </c>
      <c r="U80" s="3">
        <v>1600</v>
      </c>
      <c r="V80" s="3">
        <v>1</v>
      </c>
      <c r="W80" s="3">
        <v>5</v>
      </c>
      <c r="X80" s="3">
        <v>2025</v>
      </c>
      <c r="Y80" s="3" t="s">
        <v>49</v>
      </c>
    </row>
    <row r="81" spans="1:25" ht="15">
      <c r="A81" s="2">
        <v>45717</v>
      </c>
      <c r="B81" s="2">
        <v>45839</v>
      </c>
      <c r="C81" s="3" t="s">
        <v>159</v>
      </c>
      <c r="D81" s="3" t="s">
        <v>26</v>
      </c>
      <c r="E81" s="3" t="s">
        <v>160</v>
      </c>
      <c r="F81" s="3">
        <v>1015</v>
      </c>
      <c r="G81" s="3" t="s">
        <v>271</v>
      </c>
      <c r="H81" s="3" t="s">
        <v>29</v>
      </c>
      <c r="I81" s="3">
        <v>65</v>
      </c>
      <c r="J81" s="3" t="s">
        <v>62</v>
      </c>
      <c r="K81" s="3" t="s">
        <v>100</v>
      </c>
      <c r="L81" s="3" t="s">
        <v>55</v>
      </c>
      <c r="M81" s="3" t="s">
        <v>33</v>
      </c>
      <c r="N81" s="3" t="s">
        <v>34</v>
      </c>
      <c r="O81" s="3" t="s">
        <v>57</v>
      </c>
      <c r="P81" s="3">
        <v>3</v>
      </c>
      <c r="Q81" s="3">
        <v>4</v>
      </c>
      <c r="R81" s="3">
        <v>0</v>
      </c>
      <c r="S81" s="3">
        <v>1</v>
      </c>
      <c r="T81" s="3" t="s">
        <v>37</v>
      </c>
      <c r="U81" s="3">
        <v>4800</v>
      </c>
      <c r="V81" s="3">
        <v>2</v>
      </c>
      <c r="W81" s="3">
        <v>5</v>
      </c>
      <c r="X81" s="3">
        <v>2025</v>
      </c>
      <c r="Y81" s="3" t="s">
        <v>58</v>
      </c>
    </row>
    <row r="82" spans="1:25" ht="15">
      <c r="A82" s="2">
        <v>45748</v>
      </c>
      <c r="B82" s="2">
        <v>45870</v>
      </c>
      <c r="C82" s="3" t="s">
        <v>163</v>
      </c>
      <c r="D82" s="3" t="s">
        <v>26</v>
      </c>
      <c r="E82" s="3" t="s">
        <v>164</v>
      </c>
      <c r="F82" s="3">
        <v>1016</v>
      </c>
      <c r="G82" s="3" t="s">
        <v>272</v>
      </c>
      <c r="H82" s="3" t="s">
        <v>41</v>
      </c>
      <c r="I82" s="3">
        <v>22</v>
      </c>
      <c r="J82" s="3" t="s">
        <v>82</v>
      </c>
      <c r="K82" s="3" t="s">
        <v>209</v>
      </c>
      <c r="L82" s="3" t="s">
        <v>84</v>
      </c>
      <c r="M82" s="3" t="s">
        <v>44</v>
      </c>
      <c r="N82" s="3" t="s">
        <v>85</v>
      </c>
      <c r="O82" s="3" t="s">
        <v>86</v>
      </c>
      <c r="P82" s="3">
        <v>5</v>
      </c>
      <c r="Q82" s="3">
        <v>1</v>
      </c>
      <c r="R82" s="3">
        <v>0</v>
      </c>
      <c r="S82" s="3">
        <v>5</v>
      </c>
      <c r="T82" s="3" t="s">
        <v>48</v>
      </c>
      <c r="U82" s="3">
        <v>2100</v>
      </c>
      <c r="V82" s="3">
        <v>1</v>
      </c>
      <c r="W82" s="3">
        <v>6</v>
      </c>
      <c r="X82" s="3">
        <v>2025</v>
      </c>
      <c r="Y82" s="3" t="s">
        <v>67</v>
      </c>
    </row>
    <row r="83" spans="1:25" ht="15">
      <c r="A83" s="2">
        <v>45778</v>
      </c>
      <c r="B83" s="2">
        <v>45901</v>
      </c>
      <c r="C83" s="3" t="s">
        <v>167</v>
      </c>
      <c r="D83" s="3" t="s">
        <v>26</v>
      </c>
      <c r="E83" s="3" t="s">
        <v>168</v>
      </c>
      <c r="F83" s="3">
        <v>1017</v>
      </c>
      <c r="G83" s="3" t="s">
        <v>253</v>
      </c>
      <c r="H83" s="3" t="s">
        <v>29</v>
      </c>
      <c r="I83" s="3">
        <v>56</v>
      </c>
      <c r="J83" s="3" t="s">
        <v>53</v>
      </c>
      <c r="K83" s="3" t="s">
        <v>225</v>
      </c>
      <c r="L83" s="3" t="s">
        <v>43</v>
      </c>
      <c r="M83" s="3" t="s">
        <v>33</v>
      </c>
      <c r="N83" s="3" t="s">
        <v>45</v>
      </c>
      <c r="O83" s="3" t="s">
        <v>109</v>
      </c>
      <c r="P83" s="3">
        <v>4</v>
      </c>
      <c r="Q83" s="3">
        <v>5</v>
      </c>
      <c r="R83" s="3">
        <v>1</v>
      </c>
      <c r="S83" s="3">
        <v>4</v>
      </c>
      <c r="T83" s="3" t="s">
        <v>37</v>
      </c>
      <c r="U83" s="3">
        <v>4500</v>
      </c>
      <c r="V83" s="3">
        <v>2</v>
      </c>
      <c r="W83" s="3">
        <v>10</v>
      </c>
      <c r="X83" s="3">
        <v>2025</v>
      </c>
      <c r="Y83" s="3" t="s">
        <v>74</v>
      </c>
    </row>
    <row r="84" spans="1:25" ht="15">
      <c r="A84" s="2">
        <v>45809</v>
      </c>
      <c r="B84" s="2">
        <v>45931</v>
      </c>
      <c r="C84" s="3" t="s">
        <v>171</v>
      </c>
      <c r="D84" s="3" t="s">
        <v>26</v>
      </c>
      <c r="E84" s="3" t="s">
        <v>172</v>
      </c>
      <c r="F84" s="3">
        <v>1018</v>
      </c>
      <c r="G84" s="3" t="s">
        <v>158</v>
      </c>
      <c r="H84" s="3" t="s">
        <v>41</v>
      </c>
      <c r="I84" s="3">
        <v>36</v>
      </c>
      <c r="J84" s="3" t="s">
        <v>30</v>
      </c>
      <c r="K84" s="3" t="s">
        <v>273</v>
      </c>
      <c r="L84" s="3" t="s">
        <v>93</v>
      </c>
      <c r="M84" s="3" t="s">
        <v>44</v>
      </c>
      <c r="N84" s="3" t="s">
        <v>45</v>
      </c>
      <c r="O84" s="3" t="s">
        <v>35</v>
      </c>
      <c r="P84" s="3">
        <v>2</v>
      </c>
      <c r="Q84" s="3">
        <v>2</v>
      </c>
      <c r="R84" s="3">
        <v>0</v>
      </c>
      <c r="S84" s="3">
        <v>5</v>
      </c>
      <c r="T84" s="3" t="s">
        <v>48</v>
      </c>
      <c r="U84" s="3">
        <v>2600</v>
      </c>
      <c r="V84" s="3">
        <v>1</v>
      </c>
      <c r="W84" s="3">
        <v>7</v>
      </c>
      <c r="X84" s="3">
        <v>2025</v>
      </c>
      <c r="Y84" s="3" t="s">
        <v>87</v>
      </c>
    </row>
    <row r="85" spans="1:25" ht="15">
      <c r="A85" s="2">
        <v>45839</v>
      </c>
      <c r="B85" s="2">
        <v>45962</v>
      </c>
      <c r="C85" s="3" t="s">
        <v>177</v>
      </c>
      <c r="D85" s="3" t="s">
        <v>26</v>
      </c>
      <c r="E85" s="3" t="s">
        <v>112</v>
      </c>
      <c r="F85" s="3">
        <v>1019</v>
      </c>
      <c r="G85" s="3" t="s">
        <v>161</v>
      </c>
      <c r="H85" s="3" t="s">
        <v>29</v>
      </c>
      <c r="I85" s="3">
        <v>46</v>
      </c>
      <c r="J85" s="3" t="s">
        <v>53</v>
      </c>
      <c r="K85" s="3" t="s">
        <v>209</v>
      </c>
      <c r="L85" s="3" t="s">
        <v>55</v>
      </c>
      <c r="M85" s="3" t="s">
        <v>33</v>
      </c>
      <c r="N85" s="3" t="s">
        <v>34</v>
      </c>
      <c r="O85" s="3" t="s">
        <v>86</v>
      </c>
      <c r="P85" s="3">
        <v>3</v>
      </c>
      <c r="Q85" s="3">
        <v>4</v>
      </c>
      <c r="R85" s="3">
        <v>0</v>
      </c>
      <c r="S85" s="3">
        <v>1</v>
      </c>
      <c r="T85" s="3" t="s">
        <v>37</v>
      </c>
      <c r="U85" s="3">
        <v>3700</v>
      </c>
      <c r="V85" s="3">
        <v>1</v>
      </c>
      <c r="W85" s="3">
        <v>5</v>
      </c>
      <c r="X85" s="3">
        <v>2025</v>
      </c>
      <c r="Y85" s="3" t="s">
        <v>95</v>
      </c>
    </row>
    <row r="86" spans="1:25" ht="15">
      <c r="A86" s="2">
        <v>45870</v>
      </c>
      <c r="B86" s="2">
        <v>45992</v>
      </c>
      <c r="C86" s="3" t="s">
        <v>274</v>
      </c>
      <c r="D86" s="3" t="s">
        <v>26</v>
      </c>
      <c r="E86" s="3" t="s">
        <v>27</v>
      </c>
      <c r="F86" s="3">
        <v>1020</v>
      </c>
      <c r="G86" s="3" t="s">
        <v>275</v>
      </c>
      <c r="H86" s="3" t="s">
        <v>41</v>
      </c>
      <c r="I86" s="3">
        <v>27</v>
      </c>
      <c r="J86" s="3" t="s">
        <v>107</v>
      </c>
      <c r="K86" s="3" t="s">
        <v>273</v>
      </c>
      <c r="L86" s="3" t="s">
        <v>32</v>
      </c>
      <c r="M86" s="3" t="s">
        <v>44</v>
      </c>
      <c r="N86" s="3" t="s">
        <v>45</v>
      </c>
      <c r="O86" s="3" t="s">
        <v>109</v>
      </c>
      <c r="P86" s="3">
        <v>4</v>
      </c>
      <c r="Q86" s="3">
        <v>1</v>
      </c>
      <c r="R86" s="3">
        <v>0</v>
      </c>
      <c r="S86" s="3">
        <v>6</v>
      </c>
      <c r="T86" s="3" t="s">
        <v>48</v>
      </c>
      <c r="U86" s="3">
        <v>1800</v>
      </c>
      <c r="V86" s="3">
        <v>1</v>
      </c>
      <c r="W86" s="3">
        <v>7</v>
      </c>
      <c r="X86" s="3">
        <v>2025</v>
      </c>
      <c r="Y86" s="3" t="s">
        <v>103</v>
      </c>
    </row>
    <row r="87" spans="1:25" ht="15">
      <c r="A87" s="2">
        <v>45901</v>
      </c>
      <c r="B87" s="2">
        <v>46023</v>
      </c>
      <c r="C87" s="3" t="s">
        <v>276</v>
      </c>
      <c r="D87" s="3" t="s">
        <v>26</v>
      </c>
      <c r="E87" s="3" t="s">
        <v>123</v>
      </c>
      <c r="F87" s="3">
        <v>1021</v>
      </c>
      <c r="G87" s="3" t="s">
        <v>277</v>
      </c>
      <c r="H87" s="3" t="s">
        <v>29</v>
      </c>
      <c r="I87" s="3">
        <v>60</v>
      </c>
      <c r="J87" s="3" t="s">
        <v>62</v>
      </c>
      <c r="K87" s="3" t="s">
        <v>278</v>
      </c>
      <c r="L87" s="3" t="s">
        <v>43</v>
      </c>
      <c r="M87" s="3" t="s">
        <v>33</v>
      </c>
      <c r="N87" s="3" t="s">
        <v>34</v>
      </c>
      <c r="O87" s="3" t="s">
        <v>57</v>
      </c>
      <c r="P87" s="3">
        <v>5</v>
      </c>
      <c r="Q87" s="3">
        <v>5</v>
      </c>
      <c r="R87" s="3">
        <v>1</v>
      </c>
      <c r="S87" s="3">
        <v>5</v>
      </c>
      <c r="T87" s="3" t="s">
        <v>37</v>
      </c>
      <c r="U87" s="3">
        <v>6000</v>
      </c>
      <c r="V87" s="3">
        <v>3</v>
      </c>
      <c r="W87" s="3">
        <v>11</v>
      </c>
      <c r="X87" s="3">
        <v>2025</v>
      </c>
      <c r="Y87" s="3" t="s">
        <v>110</v>
      </c>
    </row>
    <row r="88" spans="1:25" ht="15">
      <c r="A88" s="2">
        <v>45931</v>
      </c>
      <c r="B88" s="2">
        <v>46054</v>
      </c>
      <c r="C88" s="3" t="s">
        <v>279</v>
      </c>
      <c r="D88" s="3" t="s">
        <v>26</v>
      </c>
      <c r="E88" s="3" t="s">
        <v>139</v>
      </c>
      <c r="F88" s="3">
        <v>1022</v>
      </c>
      <c r="G88" s="3" t="s">
        <v>280</v>
      </c>
      <c r="H88" s="3" t="s">
        <v>41</v>
      </c>
      <c r="I88" s="3">
        <v>49</v>
      </c>
      <c r="J88" s="3" t="s">
        <v>53</v>
      </c>
      <c r="K88" s="3" t="s">
        <v>149</v>
      </c>
      <c r="L88" s="3" t="s">
        <v>93</v>
      </c>
      <c r="M88" s="3" t="s">
        <v>44</v>
      </c>
      <c r="N88" s="3" t="s">
        <v>45</v>
      </c>
      <c r="O88" s="3" t="s">
        <v>86</v>
      </c>
      <c r="P88" s="3">
        <v>2</v>
      </c>
      <c r="Q88" s="3">
        <v>2</v>
      </c>
      <c r="R88" s="3">
        <v>0</v>
      </c>
      <c r="S88" s="3">
        <v>5</v>
      </c>
      <c r="T88" s="3" t="s">
        <v>48</v>
      </c>
      <c r="U88" s="3">
        <v>2100</v>
      </c>
      <c r="V88" s="3">
        <v>1</v>
      </c>
      <c r="W88" s="3">
        <v>7</v>
      </c>
      <c r="X88" s="3">
        <v>2025</v>
      </c>
      <c r="Y88" s="3" t="s">
        <v>116</v>
      </c>
    </row>
    <row r="89" spans="1:25" ht="15">
      <c r="A89" s="2">
        <v>45962</v>
      </c>
      <c r="B89" s="2">
        <v>46082</v>
      </c>
      <c r="C89" s="3" t="s">
        <v>281</v>
      </c>
      <c r="D89" s="3" t="s">
        <v>26</v>
      </c>
      <c r="E89" s="3" t="s">
        <v>221</v>
      </c>
      <c r="F89" s="3">
        <v>1023</v>
      </c>
      <c r="G89" s="3" t="s">
        <v>282</v>
      </c>
      <c r="H89" s="3" t="s">
        <v>29</v>
      </c>
      <c r="I89" s="3">
        <v>11</v>
      </c>
      <c r="J89" s="3" t="s">
        <v>99</v>
      </c>
      <c r="K89" s="3" t="s">
        <v>92</v>
      </c>
      <c r="L89" s="3" t="s">
        <v>32</v>
      </c>
      <c r="M89" s="3" t="s">
        <v>33</v>
      </c>
      <c r="N89" s="3" t="s">
        <v>85</v>
      </c>
      <c r="O89" s="3" t="s">
        <v>109</v>
      </c>
      <c r="P89" s="3">
        <v>4</v>
      </c>
      <c r="Q89" s="3">
        <v>3</v>
      </c>
      <c r="R89" s="3">
        <v>0</v>
      </c>
      <c r="S89" s="3">
        <v>1</v>
      </c>
      <c r="T89" s="3" t="s">
        <v>37</v>
      </c>
      <c r="U89" s="3">
        <v>2800</v>
      </c>
      <c r="V89" s="3">
        <v>1</v>
      </c>
      <c r="W89" s="3">
        <v>4</v>
      </c>
      <c r="X89" s="3">
        <v>2025</v>
      </c>
      <c r="Y89" s="3" t="s">
        <v>127</v>
      </c>
    </row>
    <row r="90" spans="1:25" ht="15">
      <c r="A90" s="2">
        <v>45992</v>
      </c>
      <c r="B90" s="2">
        <v>46113</v>
      </c>
      <c r="C90" s="3" t="s">
        <v>218</v>
      </c>
      <c r="D90" s="3" t="s">
        <v>26</v>
      </c>
      <c r="E90" s="3" t="s">
        <v>147</v>
      </c>
      <c r="F90" s="3">
        <v>1024</v>
      </c>
      <c r="G90" s="3" t="s">
        <v>158</v>
      </c>
      <c r="H90" s="3" t="s">
        <v>29</v>
      </c>
      <c r="I90" s="3">
        <v>24</v>
      </c>
      <c r="J90" s="3" t="s">
        <v>82</v>
      </c>
      <c r="K90" s="3" t="s">
        <v>283</v>
      </c>
      <c r="L90" s="3" t="s">
        <v>55</v>
      </c>
      <c r="M90" s="3" t="s">
        <v>44</v>
      </c>
      <c r="N90" s="3" t="s">
        <v>34</v>
      </c>
      <c r="O90" s="3" t="s">
        <v>35</v>
      </c>
      <c r="P90" s="3">
        <v>3</v>
      </c>
      <c r="Q90" s="3">
        <v>2</v>
      </c>
      <c r="R90" s="3">
        <v>0</v>
      </c>
      <c r="S90" s="3">
        <v>2</v>
      </c>
      <c r="T90" s="3" t="s">
        <v>48</v>
      </c>
      <c r="U90" s="3">
        <v>1900</v>
      </c>
      <c r="V90" s="3">
        <v>1</v>
      </c>
      <c r="W90" s="3">
        <v>4</v>
      </c>
      <c r="X90" s="3">
        <v>2025</v>
      </c>
      <c r="Y90" s="3" t="s">
        <v>133</v>
      </c>
    </row>
    <row r="91" spans="1:25" ht="15">
      <c r="A91" s="2">
        <v>46023</v>
      </c>
      <c r="B91" s="2">
        <v>46143</v>
      </c>
      <c r="C91" s="3" t="s">
        <v>223</v>
      </c>
      <c r="D91" s="3" t="s">
        <v>26</v>
      </c>
      <c r="E91" s="3" t="s">
        <v>186</v>
      </c>
      <c r="F91" s="3">
        <v>1025</v>
      </c>
      <c r="G91" s="3" t="s">
        <v>180</v>
      </c>
      <c r="H91" s="3" t="s">
        <v>29</v>
      </c>
      <c r="I91" s="3">
        <v>29</v>
      </c>
      <c r="J91" s="3" t="s">
        <v>107</v>
      </c>
      <c r="K91" s="3" t="s">
        <v>225</v>
      </c>
      <c r="L91" s="3" t="s">
        <v>84</v>
      </c>
      <c r="M91" s="3" t="s">
        <v>33</v>
      </c>
      <c r="N91" s="3" t="s">
        <v>45</v>
      </c>
      <c r="O91" s="3" t="s">
        <v>57</v>
      </c>
      <c r="P91" s="3">
        <v>5</v>
      </c>
      <c r="Q91" s="3">
        <v>5</v>
      </c>
      <c r="R91" s="3">
        <v>1</v>
      </c>
      <c r="S91" s="3">
        <v>3</v>
      </c>
      <c r="T91" s="3" t="s">
        <v>37</v>
      </c>
      <c r="U91" s="3">
        <v>4500</v>
      </c>
      <c r="V91" s="3">
        <v>2</v>
      </c>
      <c r="W91" s="3">
        <v>9</v>
      </c>
      <c r="X91" s="3">
        <v>2026</v>
      </c>
      <c r="Y91" s="3" t="s">
        <v>38</v>
      </c>
    </row>
    <row r="92" spans="1:25" ht="15">
      <c r="A92" s="2">
        <v>46054</v>
      </c>
      <c r="B92" s="2">
        <v>46174</v>
      </c>
      <c r="C92" s="3" t="s">
        <v>220</v>
      </c>
      <c r="D92" s="3" t="s">
        <v>26</v>
      </c>
      <c r="E92" s="3" t="s">
        <v>284</v>
      </c>
      <c r="F92" s="3">
        <v>1026</v>
      </c>
      <c r="G92" s="3" t="s">
        <v>222</v>
      </c>
      <c r="H92" s="3" t="s">
        <v>41</v>
      </c>
      <c r="I92" s="3">
        <v>32</v>
      </c>
      <c r="J92" s="3" t="s">
        <v>30</v>
      </c>
      <c r="K92" s="3" t="s">
        <v>100</v>
      </c>
      <c r="L92" s="3" t="s">
        <v>43</v>
      </c>
      <c r="M92" s="3" t="s">
        <v>44</v>
      </c>
      <c r="N92" s="3" t="s">
        <v>85</v>
      </c>
      <c r="O92" s="3" t="s">
        <v>86</v>
      </c>
      <c r="P92" s="3">
        <v>4</v>
      </c>
      <c r="Q92" s="3">
        <v>2</v>
      </c>
      <c r="R92" s="3">
        <v>0</v>
      </c>
      <c r="S92" s="3">
        <v>4</v>
      </c>
      <c r="T92" s="3" t="s">
        <v>48</v>
      </c>
      <c r="U92" s="3">
        <v>2300</v>
      </c>
      <c r="V92" s="3">
        <v>1</v>
      </c>
      <c r="W92" s="3">
        <v>6</v>
      </c>
      <c r="X92" s="3">
        <v>2026</v>
      </c>
      <c r="Y92" s="3" t="s">
        <v>49</v>
      </c>
    </row>
    <row r="93" spans="1:25" ht="15">
      <c r="A93" s="2">
        <v>46082</v>
      </c>
      <c r="B93" s="2">
        <v>46204</v>
      </c>
      <c r="C93" s="3" t="s">
        <v>226</v>
      </c>
      <c r="D93" s="3" t="s">
        <v>26</v>
      </c>
      <c r="E93" s="3" t="s">
        <v>285</v>
      </c>
      <c r="F93" s="3">
        <v>1027</v>
      </c>
      <c r="G93" s="3" t="s">
        <v>228</v>
      </c>
      <c r="H93" s="3" t="s">
        <v>41</v>
      </c>
      <c r="I93" s="3">
        <v>45</v>
      </c>
      <c r="J93" s="3" t="s">
        <v>30</v>
      </c>
      <c r="K93" s="3" t="s">
        <v>170</v>
      </c>
      <c r="L93" s="3" t="s">
        <v>55</v>
      </c>
      <c r="M93" s="3" t="s">
        <v>33</v>
      </c>
      <c r="N93" s="3" t="s">
        <v>34</v>
      </c>
      <c r="O93" s="3" t="s">
        <v>109</v>
      </c>
      <c r="P93" s="3">
        <v>3</v>
      </c>
      <c r="Q93" s="3">
        <v>3</v>
      </c>
      <c r="R93" s="3">
        <v>0</v>
      </c>
      <c r="S93" s="3">
        <v>1</v>
      </c>
      <c r="T93" s="3" t="s">
        <v>37</v>
      </c>
      <c r="U93" s="3">
        <v>3700</v>
      </c>
      <c r="V93" s="3">
        <v>1</v>
      </c>
      <c r="W93" s="3">
        <v>4</v>
      </c>
      <c r="X93" s="3">
        <v>2026</v>
      </c>
      <c r="Y93" s="3" t="s">
        <v>58</v>
      </c>
    </row>
    <row r="94" spans="1:25" ht="15">
      <c r="A94" s="2">
        <v>46113</v>
      </c>
      <c r="B94" s="2">
        <v>46024</v>
      </c>
      <c r="C94" s="3" t="s">
        <v>230</v>
      </c>
      <c r="D94" s="3" t="s">
        <v>26</v>
      </c>
      <c r="E94" s="3" t="s">
        <v>202</v>
      </c>
      <c r="F94" s="3">
        <v>1028</v>
      </c>
      <c r="G94" s="3" t="s">
        <v>231</v>
      </c>
      <c r="H94" s="3" t="s">
        <v>29</v>
      </c>
      <c r="I94" s="3">
        <v>38</v>
      </c>
      <c r="J94" s="3" t="s">
        <v>30</v>
      </c>
      <c r="K94" s="3" t="s">
        <v>286</v>
      </c>
      <c r="L94" s="3" t="s">
        <v>32</v>
      </c>
      <c r="M94" s="3" t="s">
        <v>44</v>
      </c>
      <c r="N94" s="3" t="s">
        <v>45</v>
      </c>
      <c r="O94" s="3" t="s">
        <v>35</v>
      </c>
      <c r="P94" s="3">
        <v>4</v>
      </c>
      <c r="Q94" s="3">
        <v>1</v>
      </c>
      <c r="R94" s="3">
        <v>0</v>
      </c>
      <c r="S94" s="3">
        <v>5</v>
      </c>
      <c r="T94" s="3" t="s">
        <v>48</v>
      </c>
      <c r="U94" s="3">
        <v>1700</v>
      </c>
      <c r="V94" s="3">
        <v>1</v>
      </c>
      <c r="W94" s="3">
        <v>6</v>
      </c>
      <c r="X94" s="3">
        <v>2026</v>
      </c>
      <c r="Y94" s="3" t="s">
        <v>67</v>
      </c>
    </row>
    <row r="95" spans="1:25" ht="15">
      <c r="A95" s="2">
        <v>46143</v>
      </c>
      <c r="B95" s="2">
        <v>46055</v>
      </c>
      <c r="C95" s="3" t="s">
        <v>233</v>
      </c>
      <c r="D95" s="3" t="s">
        <v>26</v>
      </c>
      <c r="E95" s="3" t="s">
        <v>234</v>
      </c>
      <c r="F95" s="3">
        <v>1029</v>
      </c>
      <c r="G95" s="3" t="s">
        <v>235</v>
      </c>
      <c r="H95" s="3" t="s">
        <v>29</v>
      </c>
      <c r="I95" s="3">
        <v>51</v>
      </c>
      <c r="J95" s="3" t="s">
        <v>53</v>
      </c>
      <c r="K95" s="3" t="s">
        <v>149</v>
      </c>
      <c r="L95" s="3" t="s">
        <v>93</v>
      </c>
      <c r="M95" s="3" t="s">
        <v>33</v>
      </c>
      <c r="N95" s="3" t="s">
        <v>85</v>
      </c>
      <c r="O95" s="3" t="s">
        <v>57</v>
      </c>
      <c r="P95" s="3">
        <v>5</v>
      </c>
      <c r="Q95" s="3">
        <v>5</v>
      </c>
      <c r="R95" s="3">
        <v>1</v>
      </c>
      <c r="S95" s="3">
        <v>3</v>
      </c>
      <c r="T95" s="3" t="s">
        <v>37</v>
      </c>
      <c r="U95" s="3">
        <v>5200</v>
      </c>
      <c r="V95" s="3">
        <v>3</v>
      </c>
      <c r="W95" s="3">
        <v>9</v>
      </c>
      <c r="X95" s="3">
        <v>2026</v>
      </c>
      <c r="Y95" s="3" t="s">
        <v>74</v>
      </c>
    </row>
    <row r="96" spans="1:25" ht="15">
      <c r="A96" s="2">
        <v>46174</v>
      </c>
      <c r="B96" s="2">
        <v>46083</v>
      </c>
      <c r="C96" s="3" t="s">
        <v>150</v>
      </c>
      <c r="D96" s="3" t="s">
        <v>26</v>
      </c>
      <c r="E96" s="3" t="s">
        <v>147</v>
      </c>
      <c r="F96" s="3">
        <v>1030</v>
      </c>
      <c r="G96" s="3" t="s">
        <v>236</v>
      </c>
      <c r="H96" s="3" t="s">
        <v>29</v>
      </c>
      <c r="I96" s="3">
        <v>22</v>
      </c>
      <c r="J96" s="3" t="s">
        <v>82</v>
      </c>
      <c r="K96" s="3" t="s">
        <v>287</v>
      </c>
      <c r="L96" s="3" t="s">
        <v>84</v>
      </c>
      <c r="M96" s="3" t="s">
        <v>44</v>
      </c>
      <c r="N96" s="3" t="s">
        <v>34</v>
      </c>
      <c r="O96" s="3" t="s">
        <v>86</v>
      </c>
      <c r="P96" s="3">
        <v>4</v>
      </c>
      <c r="Q96" s="3">
        <v>1</v>
      </c>
      <c r="R96" s="3">
        <v>0</v>
      </c>
      <c r="S96" s="3">
        <v>6</v>
      </c>
      <c r="T96" s="3" t="s">
        <v>48</v>
      </c>
      <c r="U96" s="3">
        <v>1300</v>
      </c>
      <c r="V96" s="3">
        <v>1</v>
      </c>
      <c r="W96" s="3">
        <v>7</v>
      </c>
      <c r="X96" s="3">
        <v>2026</v>
      </c>
      <c r="Y96" s="3" t="s">
        <v>87</v>
      </c>
    </row>
    <row r="97" spans="1:25" ht="15">
      <c r="A97" s="2">
        <v>46204</v>
      </c>
      <c r="B97" s="2">
        <v>46114</v>
      </c>
      <c r="C97" s="3" t="s">
        <v>237</v>
      </c>
      <c r="D97" s="3" t="s">
        <v>26</v>
      </c>
      <c r="E97" s="3" t="s">
        <v>157</v>
      </c>
      <c r="F97" s="3">
        <v>1031</v>
      </c>
      <c r="G97" s="3" t="s">
        <v>238</v>
      </c>
      <c r="H97" s="3" t="s">
        <v>41</v>
      </c>
      <c r="I97" s="3">
        <v>20</v>
      </c>
      <c r="J97" s="3" t="s">
        <v>91</v>
      </c>
      <c r="K97" s="3" t="s">
        <v>288</v>
      </c>
      <c r="L97" s="3" t="s">
        <v>32</v>
      </c>
      <c r="M97" s="3" t="s">
        <v>33</v>
      </c>
      <c r="N97" s="3" t="s">
        <v>45</v>
      </c>
      <c r="O97" s="3" t="s">
        <v>109</v>
      </c>
      <c r="P97" s="3">
        <v>3</v>
      </c>
      <c r="Q97" s="3">
        <v>4</v>
      </c>
      <c r="R97" s="3">
        <v>0</v>
      </c>
      <c r="S97" s="3">
        <v>1</v>
      </c>
      <c r="T97" s="3" t="s">
        <v>37</v>
      </c>
      <c r="U97" s="3">
        <v>2800</v>
      </c>
      <c r="V97" s="3">
        <v>1</v>
      </c>
      <c r="W97" s="3">
        <v>5</v>
      </c>
      <c r="X97" s="3">
        <v>2026</v>
      </c>
      <c r="Y97" s="3" t="s">
        <v>95</v>
      </c>
    </row>
    <row r="98" spans="1:25" ht="15">
      <c r="A98" s="2">
        <v>46054</v>
      </c>
      <c r="B98" s="2">
        <v>46144</v>
      </c>
      <c r="C98" s="3" t="s">
        <v>240</v>
      </c>
      <c r="D98" s="3" t="s">
        <v>26</v>
      </c>
      <c r="E98" s="3" t="s">
        <v>129</v>
      </c>
      <c r="F98" s="3">
        <v>1032</v>
      </c>
      <c r="G98" s="3" t="s">
        <v>241</v>
      </c>
      <c r="H98" s="3" t="s">
        <v>29</v>
      </c>
      <c r="I98" s="3">
        <v>53</v>
      </c>
      <c r="J98" s="3" t="s">
        <v>53</v>
      </c>
      <c r="K98" s="3" t="s">
        <v>289</v>
      </c>
      <c r="L98" s="3" t="s">
        <v>43</v>
      </c>
      <c r="M98" s="3" t="s">
        <v>44</v>
      </c>
      <c r="N98" s="3" t="s">
        <v>45</v>
      </c>
      <c r="O98" s="3" t="s">
        <v>57</v>
      </c>
      <c r="P98" s="3">
        <v>2</v>
      </c>
      <c r="Q98" s="3">
        <v>2</v>
      </c>
      <c r="R98" s="3">
        <v>0</v>
      </c>
      <c r="S98" s="3">
        <v>2</v>
      </c>
      <c r="T98" s="3" t="s">
        <v>48</v>
      </c>
      <c r="U98" s="3">
        <v>2100</v>
      </c>
      <c r="V98" s="3">
        <v>1</v>
      </c>
      <c r="W98" s="3">
        <v>4</v>
      </c>
      <c r="X98" s="3">
        <v>2026</v>
      </c>
      <c r="Y98" s="3" t="s">
        <v>49</v>
      </c>
    </row>
    <row r="99" spans="1:25" ht="15">
      <c r="A99" s="2">
        <v>46082</v>
      </c>
      <c r="B99" s="2">
        <v>46175</v>
      </c>
      <c r="C99" s="3" t="s">
        <v>79</v>
      </c>
      <c r="D99" s="3" t="s">
        <v>26</v>
      </c>
      <c r="E99" s="3" t="s">
        <v>193</v>
      </c>
      <c r="F99" s="3">
        <v>1033</v>
      </c>
      <c r="G99" s="3" t="s">
        <v>242</v>
      </c>
      <c r="H99" s="3" t="s">
        <v>41</v>
      </c>
      <c r="I99" s="3">
        <v>22</v>
      </c>
      <c r="J99" s="3" t="s">
        <v>82</v>
      </c>
      <c r="K99" s="3" t="s">
        <v>75</v>
      </c>
      <c r="L99" s="3" t="s">
        <v>93</v>
      </c>
      <c r="M99" s="3" t="s">
        <v>33</v>
      </c>
      <c r="N99" s="3" t="s">
        <v>45</v>
      </c>
      <c r="O99" s="3" t="s">
        <v>86</v>
      </c>
      <c r="P99" s="3">
        <v>5</v>
      </c>
      <c r="Q99" s="3">
        <v>3</v>
      </c>
      <c r="R99" s="3">
        <v>0</v>
      </c>
      <c r="S99" s="3">
        <v>1</v>
      </c>
      <c r="T99" s="3" t="s">
        <v>37</v>
      </c>
      <c r="U99" s="3">
        <v>3300</v>
      </c>
      <c r="V99" s="3">
        <v>2</v>
      </c>
      <c r="W99" s="3">
        <v>4</v>
      </c>
      <c r="X99" s="3">
        <v>2026</v>
      </c>
      <c r="Y99" s="3" t="s">
        <v>58</v>
      </c>
    </row>
    <row r="100" spans="1:25" ht="15">
      <c r="A100" s="2">
        <v>46113</v>
      </c>
      <c r="B100" s="2">
        <v>46205</v>
      </c>
      <c r="C100" s="3" t="s">
        <v>111</v>
      </c>
      <c r="D100" s="3" t="s">
        <v>26</v>
      </c>
      <c r="E100" s="3" t="s">
        <v>164</v>
      </c>
      <c r="F100" s="3">
        <v>1034</v>
      </c>
      <c r="G100" s="3" t="s">
        <v>243</v>
      </c>
      <c r="H100" s="3" t="s">
        <v>29</v>
      </c>
      <c r="I100" s="3">
        <v>62</v>
      </c>
      <c r="J100" s="3" t="s">
        <v>62</v>
      </c>
      <c r="K100" s="3" t="s">
        <v>145</v>
      </c>
      <c r="L100" s="3" t="s">
        <v>55</v>
      </c>
      <c r="M100" s="3" t="s">
        <v>44</v>
      </c>
      <c r="N100" s="3" t="s">
        <v>85</v>
      </c>
      <c r="O100" s="3" t="s">
        <v>109</v>
      </c>
      <c r="P100" s="3">
        <v>3</v>
      </c>
      <c r="Q100" s="3">
        <v>1</v>
      </c>
      <c r="R100" s="3">
        <v>0</v>
      </c>
      <c r="S100" s="3">
        <v>4</v>
      </c>
      <c r="T100" s="3" t="s">
        <v>48</v>
      </c>
      <c r="U100" s="3">
        <v>1700</v>
      </c>
      <c r="V100" s="3">
        <v>1</v>
      </c>
      <c r="W100" s="3">
        <v>5</v>
      </c>
      <c r="X100" s="3">
        <v>2026</v>
      </c>
      <c r="Y100" s="3" t="s">
        <v>67</v>
      </c>
    </row>
    <row r="101" spans="1:25" ht="15">
      <c r="A101" s="2">
        <v>46143</v>
      </c>
      <c r="B101" s="2">
        <v>46236</v>
      </c>
      <c r="C101" s="3" t="s">
        <v>104</v>
      </c>
      <c r="D101" s="3" t="s">
        <v>26</v>
      </c>
      <c r="E101" s="3" t="s">
        <v>105</v>
      </c>
      <c r="F101" s="3">
        <v>1035</v>
      </c>
      <c r="G101" s="3" t="s">
        <v>290</v>
      </c>
      <c r="H101" s="3" t="s">
        <v>29</v>
      </c>
      <c r="I101" s="3">
        <v>45</v>
      </c>
      <c r="J101" s="3" t="s">
        <v>30</v>
      </c>
      <c r="K101" s="3" t="s">
        <v>114</v>
      </c>
      <c r="L101" s="3" t="s">
        <v>32</v>
      </c>
      <c r="M101" s="3" t="s">
        <v>33</v>
      </c>
      <c r="N101" s="3" t="s">
        <v>34</v>
      </c>
      <c r="O101" s="3" t="s">
        <v>57</v>
      </c>
      <c r="P101" s="3">
        <v>5</v>
      </c>
      <c r="Q101" s="3">
        <v>4</v>
      </c>
      <c r="R101" s="3">
        <v>1</v>
      </c>
      <c r="S101" s="3">
        <v>1</v>
      </c>
      <c r="T101" s="3" t="s">
        <v>37</v>
      </c>
      <c r="U101" s="3">
        <v>4200</v>
      </c>
      <c r="V101" s="3">
        <v>2</v>
      </c>
      <c r="W101" s="3">
        <v>6</v>
      </c>
      <c r="X101" s="3">
        <v>2026</v>
      </c>
      <c r="Y101" s="3" t="s">
        <v>74</v>
      </c>
    </row>
    <row r="102" spans="1:25" ht="15">
      <c r="A102" s="2">
        <v>46174</v>
      </c>
      <c r="B102" s="2">
        <v>46267</v>
      </c>
      <c r="C102" s="3" t="s">
        <v>138</v>
      </c>
      <c r="D102" s="3" t="s">
        <v>26</v>
      </c>
      <c r="E102" s="3" t="s">
        <v>227</v>
      </c>
      <c r="F102" s="3">
        <v>1036</v>
      </c>
      <c r="G102" s="3" t="s">
        <v>291</v>
      </c>
      <c r="H102" s="3" t="s">
        <v>29</v>
      </c>
      <c r="I102" s="3">
        <v>49</v>
      </c>
      <c r="J102" s="3" t="s">
        <v>53</v>
      </c>
      <c r="K102" s="3" t="s">
        <v>225</v>
      </c>
      <c r="L102" s="3" t="s">
        <v>43</v>
      </c>
      <c r="M102" s="3" t="s">
        <v>44</v>
      </c>
      <c r="N102" s="3" t="s">
        <v>45</v>
      </c>
      <c r="O102" s="3" t="s">
        <v>86</v>
      </c>
      <c r="P102" s="3">
        <v>4</v>
      </c>
      <c r="Q102" s="3">
        <v>2</v>
      </c>
      <c r="R102" s="3">
        <v>0</v>
      </c>
      <c r="S102" s="3">
        <v>2</v>
      </c>
      <c r="T102" s="3" t="s">
        <v>48</v>
      </c>
      <c r="U102" s="3">
        <v>2100</v>
      </c>
      <c r="V102" s="3">
        <v>1</v>
      </c>
      <c r="W102" s="3">
        <v>4</v>
      </c>
      <c r="X102" s="3">
        <v>2026</v>
      </c>
      <c r="Y102" s="3" t="s">
        <v>87</v>
      </c>
    </row>
    <row r="103" spans="1:25" ht="15">
      <c r="A103" s="2">
        <v>46204</v>
      </c>
      <c r="B103" s="2">
        <v>46297</v>
      </c>
      <c r="C103" s="3" t="s">
        <v>177</v>
      </c>
      <c r="D103" s="3" t="s">
        <v>26</v>
      </c>
      <c r="E103" s="3" t="s">
        <v>259</v>
      </c>
      <c r="F103" s="3">
        <v>1037</v>
      </c>
      <c r="G103" s="3" t="s">
        <v>292</v>
      </c>
      <c r="H103" s="3" t="s">
        <v>41</v>
      </c>
      <c r="I103" s="3">
        <v>30</v>
      </c>
      <c r="J103" s="3" t="s">
        <v>107</v>
      </c>
      <c r="K103" s="3" t="s">
        <v>114</v>
      </c>
      <c r="L103" s="3" t="s">
        <v>93</v>
      </c>
      <c r="M103" s="3" t="s">
        <v>33</v>
      </c>
      <c r="N103" s="3" t="s">
        <v>45</v>
      </c>
      <c r="O103" s="3" t="s">
        <v>109</v>
      </c>
      <c r="P103" s="3">
        <v>2</v>
      </c>
      <c r="Q103" s="3">
        <v>3</v>
      </c>
      <c r="R103" s="3">
        <v>0</v>
      </c>
      <c r="S103" s="3">
        <v>2</v>
      </c>
      <c r="T103" s="3" t="s">
        <v>37</v>
      </c>
      <c r="U103" s="3">
        <v>2700</v>
      </c>
      <c r="V103" s="3">
        <v>1</v>
      </c>
      <c r="W103" s="3">
        <v>5</v>
      </c>
      <c r="X103" s="3">
        <v>2026</v>
      </c>
      <c r="Y103" s="3" t="s">
        <v>95</v>
      </c>
    </row>
    <row r="104" spans="1:25" ht="15">
      <c r="A104" s="2">
        <v>46235</v>
      </c>
      <c r="B104" s="2">
        <v>46328</v>
      </c>
      <c r="C104" s="3" t="s">
        <v>218</v>
      </c>
      <c r="D104" s="3" t="s">
        <v>26</v>
      </c>
      <c r="E104" s="3" t="s">
        <v>147</v>
      </c>
      <c r="F104" s="3">
        <v>1038</v>
      </c>
      <c r="G104" s="3" t="s">
        <v>293</v>
      </c>
      <c r="H104" s="3" t="s">
        <v>29</v>
      </c>
      <c r="I104" s="3">
        <v>31</v>
      </c>
      <c r="J104" s="3" t="s">
        <v>30</v>
      </c>
      <c r="K104" s="3" t="s">
        <v>286</v>
      </c>
      <c r="L104" s="3" t="s">
        <v>84</v>
      </c>
      <c r="M104" s="3" t="s">
        <v>44</v>
      </c>
      <c r="N104" s="3" t="s">
        <v>85</v>
      </c>
      <c r="O104" s="3" t="s">
        <v>35</v>
      </c>
      <c r="P104" s="3">
        <v>4</v>
      </c>
      <c r="Q104" s="3">
        <v>1</v>
      </c>
      <c r="R104" s="3">
        <v>0</v>
      </c>
      <c r="S104" s="3">
        <v>3</v>
      </c>
      <c r="T104" s="3" t="s">
        <v>48</v>
      </c>
      <c r="U104" s="3">
        <v>1500</v>
      </c>
      <c r="V104" s="3">
        <v>1</v>
      </c>
      <c r="W104" s="3">
        <v>4</v>
      </c>
      <c r="X104" s="3">
        <v>2026</v>
      </c>
      <c r="Y104" s="3" t="s">
        <v>103</v>
      </c>
    </row>
    <row r="105" spans="1:25" ht="15">
      <c r="A105" s="2">
        <v>46266</v>
      </c>
      <c r="B105" s="2">
        <v>46358</v>
      </c>
      <c r="C105" s="3" t="s">
        <v>223</v>
      </c>
      <c r="D105" s="3" t="s">
        <v>26</v>
      </c>
      <c r="E105" s="3" t="s">
        <v>186</v>
      </c>
      <c r="F105" s="3">
        <v>1039</v>
      </c>
      <c r="G105" s="3" t="s">
        <v>158</v>
      </c>
      <c r="H105" s="3" t="s">
        <v>41</v>
      </c>
      <c r="I105" s="3">
        <v>57</v>
      </c>
      <c r="J105" s="3" t="s">
        <v>53</v>
      </c>
      <c r="K105" s="3" t="s">
        <v>294</v>
      </c>
      <c r="L105" s="3" t="s">
        <v>55</v>
      </c>
      <c r="M105" s="3" t="s">
        <v>33</v>
      </c>
      <c r="N105" s="3" t="s">
        <v>34</v>
      </c>
      <c r="O105" s="3" t="s">
        <v>57</v>
      </c>
      <c r="P105" s="3">
        <v>2</v>
      </c>
      <c r="Q105" s="3">
        <v>5</v>
      </c>
      <c r="R105" s="3">
        <v>1</v>
      </c>
      <c r="S105" s="3">
        <v>6</v>
      </c>
      <c r="T105" s="3" t="s">
        <v>37</v>
      </c>
      <c r="U105" s="3">
        <v>5500</v>
      </c>
      <c r="V105" s="3">
        <v>3</v>
      </c>
      <c r="W105" s="3">
        <v>12</v>
      </c>
      <c r="X105" s="3">
        <v>2026</v>
      </c>
      <c r="Y105" s="3" t="s">
        <v>110</v>
      </c>
    </row>
    <row r="106" spans="1:25" ht="15">
      <c r="A106" s="2">
        <v>46113</v>
      </c>
      <c r="B106" s="2">
        <v>45659</v>
      </c>
      <c r="C106" s="3" t="s">
        <v>104</v>
      </c>
      <c r="D106" s="3" t="s">
        <v>26</v>
      </c>
      <c r="E106" s="3" t="s">
        <v>105</v>
      </c>
      <c r="F106" s="3">
        <v>1040</v>
      </c>
      <c r="G106" s="3" t="s">
        <v>256</v>
      </c>
      <c r="H106" s="3" t="s">
        <v>29</v>
      </c>
      <c r="I106" s="3">
        <v>23</v>
      </c>
      <c r="J106" s="3" t="s">
        <v>82</v>
      </c>
      <c r="K106" s="3" t="s">
        <v>244</v>
      </c>
      <c r="L106" s="3" t="s">
        <v>32</v>
      </c>
      <c r="M106" s="3" t="s">
        <v>44</v>
      </c>
      <c r="N106" s="3" t="s">
        <v>45</v>
      </c>
      <c r="O106" s="3" t="s">
        <v>109</v>
      </c>
      <c r="P106" s="3">
        <v>3</v>
      </c>
      <c r="Q106" s="3">
        <v>4</v>
      </c>
      <c r="R106" s="3">
        <v>0</v>
      </c>
      <c r="S106" s="3">
        <v>5</v>
      </c>
      <c r="T106" s="3" t="s">
        <v>48</v>
      </c>
      <c r="U106" s="3">
        <v>1900</v>
      </c>
      <c r="V106" s="3">
        <v>1</v>
      </c>
      <c r="W106" s="3">
        <v>9</v>
      </c>
      <c r="X106" s="3">
        <v>2026</v>
      </c>
      <c r="Y106" s="3" t="s">
        <v>67</v>
      </c>
    </row>
    <row r="107" spans="1:25" ht="15">
      <c r="A107" s="2">
        <v>46025</v>
      </c>
      <c r="B107" s="2">
        <v>46145</v>
      </c>
      <c r="C107" s="3" t="s">
        <v>25</v>
      </c>
      <c r="D107" s="3" t="s">
        <v>26</v>
      </c>
      <c r="E107" s="3" t="s">
        <v>27</v>
      </c>
      <c r="F107" s="3">
        <v>1001</v>
      </c>
      <c r="G107" s="3" t="s">
        <v>28</v>
      </c>
      <c r="H107" s="3" t="s">
        <v>29</v>
      </c>
      <c r="I107" s="3">
        <v>45</v>
      </c>
      <c r="J107" s="3" t="s">
        <v>30</v>
      </c>
      <c r="K107" s="3" t="s">
        <v>117</v>
      </c>
      <c r="L107" s="3" t="s">
        <v>32</v>
      </c>
      <c r="M107" s="3" t="s">
        <v>33</v>
      </c>
      <c r="N107" s="3" t="s">
        <v>34</v>
      </c>
      <c r="O107" s="3" t="s">
        <v>35</v>
      </c>
      <c r="P107" s="3" t="s">
        <v>36</v>
      </c>
      <c r="Q107" s="3">
        <v>13</v>
      </c>
      <c r="R107" s="3">
        <v>7</v>
      </c>
      <c r="S107" s="3">
        <v>2</v>
      </c>
      <c r="T107" s="3" t="s">
        <v>37</v>
      </c>
      <c r="U107" s="3">
        <v>2.5</v>
      </c>
      <c r="V107" s="3">
        <v>7</v>
      </c>
      <c r="W107" s="3">
        <v>22</v>
      </c>
      <c r="X107" s="3">
        <v>2026</v>
      </c>
      <c r="Y107" s="3" t="s">
        <v>38</v>
      </c>
    </row>
    <row r="108" spans="1:25" ht="15">
      <c r="A108" s="2">
        <v>46056</v>
      </c>
      <c r="B108" s="2">
        <v>46206</v>
      </c>
      <c r="C108" s="3" t="s">
        <v>39</v>
      </c>
      <c r="D108" s="3" t="s">
        <v>26</v>
      </c>
      <c r="E108" s="3" t="s">
        <v>27</v>
      </c>
      <c r="F108" s="3">
        <v>1002</v>
      </c>
      <c r="G108" s="3" t="s">
        <v>40</v>
      </c>
      <c r="H108" s="3" t="s">
        <v>29</v>
      </c>
      <c r="I108" s="3">
        <v>32</v>
      </c>
      <c r="J108" s="3" t="s">
        <v>30</v>
      </c>
      <c r="K108" s="3" t="s">
        <v>287</v>
      </c>
      <c r="L108" s="3" t="s">
        <v>43</v>
      </c>
      <c r="M108" s="3" t="s">
        <v>44</v>
      </c>
      <c r="N108" s="3" t="s">
        <v>45</v>
      </c>
      <c r="O108" s="3" t="s">
        <v>46</v>
      </c>
      <c r="P108" s="3" t="s">
        <v>47</v>
      </c>
      <c r="Q108" s="3">
        <v>17</v>
      </c>
      <c r="R108" s="3">
        <v>12</v>
      </c>
      <c r="S108" s="3">
        <v>0</v>
      </c>
      <c r="T108" s="3" t="s">
        <v>48</v>
      </c>
      <c r="U108" s="3">
        <v>3</v>
      </c>
      <c r="V108" s="3">
        <v>5</v>
      </c>
      <c r="W108" s="3">
        <v>29</v>
      </c>
      <c r="X108" s="3">
        <v>2026</v>
      </c>
      <c r="Y108" s="3" t="s">
        <v>49</v>
      </c>
    </row>
    <row r="109" spans="1:25" ht="15">
      <c r="A109" s="2">
        <v>46084</v>
      </c>
      <c r="B109" s="2">
        <v>46176</v>
      </c>
      <c r="C109" s="3" t="s">
        <v>50</v>
      </c>
      <c r="D109" s="3" t="s">
        <v>26</v>
      </c>
      <c r="E109" s="3" t="s">
        <v>51</v>
      </c>
      <c r="F109" s="3">
        <v>1003</v>
      </c>
      <c r="G109" s="3" t="s">
        <v>52</v>
      </c>
      <c r="H109" s="3" t="s">
        <v>41</v>
      </c>
      <c r="I109" s="3">
        <v>60</v>
      </c>
      <c r="J109" s="3" t="s">
        <v>53</v>
      </c>
      <c r="K109" s="3" t="s">
        <v>295</v>
      </c>
      <c r="L109" s="3" t="s">
        <v>55</v>
      </c>
      <c r="M109" s="3" t="s">
        <v>33</v>
      </c>
      <c r="N109" s="3" t="s">
        <v>56</v>
      </c>
      <c r="O109" s="3" t="s">
        <v>57</v>
      </c>
      <c r="P109" s="3" t="s">
        <v>36</v>
      </c>
      <c r="Q109" s="3">
        <v>10</v>
      </c>
      <c r="R109" s="3">
        <v>3</v>
      </c>
      <c r="S109" s="3">
        <v>6</v>
      </c>
      <c r="T109" s="3" t="s">
        <v>37</v>
      </c>
      <c r="U109" s="3">
        <v>1.8</v>
      </c>
      <c r="V109" s="3">
        <v>6</v>
      </c>
      <c r="W109" s="3">
        <v>19</v>
      </c>
      <c r="X109" s="3">
        <v>2026</v>
      </c>
      <c r="Y109" s="3" t="s">
        <v>58</v>
      </c>
    </row>
    <row r="110" spans="1:25" ht="15">
      <c r="A110" s="2">
        <v>46115</v>
      </c>
      <c r="B110" s="2">
        <v>46298</v>
      </c>
      <c r="C110" s="3" t="s">
        <v>59</v>
      </c>
      <c r="D110" s="3" t="s">
        <v>26</v>
      </c>
      <c r="E110" s="3" t="s">
        <v>60</v>
      </c>
      <c r="F110" s="3">
        <v>1004</v>
      </c>
      <c r="G110" s="3" t="s">
        <v>61</v>
      </c>
      <c r="H110" s="3" t="s">
        <v>29</v>
      </c>
      <c r="I110" s="3">
        <v>70</v>
      </c>
      <c r="J110" s="3" t="s">
        <v>62</v>
      </c>
      <c r="K110" s="3" t="s">
        <v>100</v>
      </c>
      <c r="L110" s="3" t="s">
        <v>64</v>
      </c>
      <c r="M110" s="3" t="s">
        <v>33</v>
      </c>
      <c r="N110" s="3" t="s">
        <v>64</v>
      </c>
      <c r="O110" s="3" t="s">
        <v>65</v>
      </c>
      <c r="P110" s="3" t="s">
        <v>47</v>
      </c>
      <c r="Q110" s="3">
        <v>8</v>
      </c>
      <c r="R110" s="3">
        <v>2</v>
      </c>
      <c r="S110" s="3">
        <v>0</v>
      </c>
      <c r="T110" s="3" t="s">
        <v>66</v>
      </c>
      <c r="U110" s="3">
        <v>2.1</v>
      </c>
      <c r="V110" s="3">
        <v>8</v>
      </c>
      <c r="W110" s="3">
        <v>10</v>
      </c>
      <c r="X110" s="3">
        <v>2026</v>
      </c>
      <c r="Y110" s="3" t="s">
        <v>67</v>
      </c>
    </row>
    <row r="111" spans="1:25" ht="15">
      <c r="A111" s="2">
        <v>46145</v>
      </c>
      <c r="B111" s="2">
        <v>46329</v>
      </c>
      <c r="C111" s="3" t="s">
        <v>68</v>
      </c>
      <c r="D111" s="3" t="s">
        <v>26</v>
      </c>
      <c r="E111" s="3" t="s">
        <v>27</v>
      </c>
      <c r="F111" s="3">
        <v>1005</v>
      </c>
      <c r="G111" s="3" t="s">
        <v>69</v>
      </c>
      <c r="H111" s="3" t="s">
        <v>29</v>
      </c>
      <c r="I111" s="3">
        <v>38</v>
      </c>
      <c r="J111" s="3" t="s">
        <v>30</v>
      </c>
      <c r="K111" s="3" t="s">
        <v>141</v>
      </c>
      <c r="L111" s="3" t="s">
        <v>71</v>
      </c>
      <c r="M111" s="3" t="s">
        <v>44</v>
      </c>
      <c r="N111" s="3" t="s">
        <v>72</v>
      </c>
      <c r="O111" s="3" t="s">
        <v>73</v>
      </c>
      <c r="P111" s="3" t="s">
        <v>36</v>
      </c>
      <c r="Q111" s="3">
        <v>9</v>
      </c>
      <c r="R111" s="3">
        <v>1</v>
      </c>
      <c r="S111" s="3">
        <v>2</v>
      </c>
      <c r="T111" s="3" t="s">
        <v>37</v>
      </c>
      <c r="U111" s="3">
        <v>2.9</v>
      </c>
      <c r="V111" s="3">
        <v>4</v>
      </c>
      <c r="W111" s="3">
        <v>12</v>
      </c>
      <c r="X111" s="3">
        <v>2026</v>
      </c>
      <c r="Y111" s="3" t="s">
        <v>74</v>
      </c>
    </row>
    <row r="112" spans="1:25" ht="15">
      <c r="A112" s="2">
        <v>46176</v>
      </c>
      <c r="B112" s="2">
        <v>46359</v>
      </c>
      <c r="C112" s="3" t="s">
        <v>79</v>
      </c>
      <c r="D112" s="3" t="s">
        <v>26</v>
      </c>
      <c r="E112" s="3" t="s">
        <v>80</v>
      </c>
      <c r="F112" s="3">
        <v>1006</v>
      </c>
      <c r="G112" s="3" t="s">
        <v>81</v>
      </c>
      <c r="H112" s="3" t="s">
        <v>29</v>
      </c>
      <c r="I112" s="3">
        <v>25</v>
      </c>
      <c r="J112" s="3" t="s">
        <v>82</v>
      </c>
      <c r="K112" s="3" t="s">
        <v>145</v>
      </c>
      <c r="L112" s="3" t="s">
        <v>84</v>
      </c>
      <c r="M112" s="3" t="s">
        <v>33</v>
      </c>
      <c r="N112" s="3" t="s">
        <v>85</v>
      </c>
      <c r="O112" s="3" t="s">
        <v>86</v>
      </c>
      <c r="P112" s="3" t="s">
        <v>36</v>
      </c>
      <c r="Q112" s="3">
        <v>5</v>
      </c>
      <c r="R112" s="3">
        <v>0</v>
      </c>
      <c r="S112" s="3">
        <v>0</v>
      </c>
      <c r="T112" s="3" t="s">
        <v>37</v>
      </c>
      <c r="U112" s="3">
        <v>1.5</v>
      </c>
      <c r="V112" s="3">
        <v>3</v>
      </c>
      <c r="W112" s="3">
        <v>5</v>
      </c>
      <c r="X112" s="3">
        <v>2026</v>
      </c>
      <c r="Y112" s="3" t="s">
        <v>87</v>
      </c>
    </row>
    <row r="113" spans="1:25" ht="15">
      <c r="A113" s="2">
        <v>46206</v>
      </c>
      <c r="B113" s="2">
        <v>45719</v>
      </c>
      <c r="C113" s="3" t="s">
        <v>88</v>
      </c>
      <c r="D113" s="3" t="s">
        <v>26</v>
      </c>
      <c r="E113" s="3" t="s">
        <v>89</v>
      </c>
      <c r="F113" s="3">
        <v>1007</v>
      </c>
      <c r="G113" s="3" t="s">
        <v>90</v>
      </c>
      <c r="H113" s="3" t="s">
        <v>41</v>
      </c>
      <c r="I113" s="3">
        <v>18</v>
      </c>
      <c r="J113" s="3" t="s">
        <v>91</v>
      </c>
      <c r="K113" s="3" t="s">
        <v>267</v>
      </c>
      <c r="L113" s="3" t="s">
        <v>93</v>
      </c>
      <c r="M113" s="3" t="s">
        <v>44</v>
      </c>
      <c r="N113" s="3" t="s">
        <v>45</v>
      </c>
      <c r="O113" s="3" t="s">
        <v>94</v>
      </c>
      <c r="P113" s="3" t="s">
        <v>36</v>
      </c>
      <c r="Q113" s="3">
        <v>2</v>
      </c>
      <c r="R113" s="3">
        <v>0</v>
      </c>
      <c r="S113" s="3">
        <v>6</v>
      </c>
      <c r="T113" s="3" t="s">
        <v>48</v>
      </c>
      <c r="U113" s="3">
        <v>1</v>
      </c>
      <c r="V113" s="3">
        <v>1</v>
      </c>
      <c r="W113" s="3">
        <v>8</v>
      </c>
      <c r="X113" s="3">
        <v>2026</v>
      </c>
      <c r="Y113" s="3" t="s">
        <v>95</v>
      </c>
    </row>
    <row r="114" spans="1:25" ht="15">
      <c r="A114" s="2">
        <v>46237</v>
      </c>
      <c r="B114" s="2">
        <v>45872</v>
      </c>
      <c r="C114" s="3" t="s">
        <v>96</v>
      </c>
      <c r="D114" s="3" t="s">
        <v>26</v>
      </c>
      <c r="E114" s="3" t="s">
        <v>97</v>
      </c>
      <c r="F114" s="3">
        <v>1008</v>
      </c>
      <c r="G114" s="3" t="s">
        <v>98</v>
      </c>
      <c r="H114" s="3" t="s">
        <v>29</v>
      </c>
      <c r="I114" s="3">
        <v>12</v>
      </c>
      <c r="J114" s="3" t="s">
        <v>99</v>
      </c>
      <c r="K114" s="3" t="s">
        <v>141</v>
      </c>
      <c r="L114" s="3" t="s">
        <v>93</v>
      </c>
      <c r="M114" s="3" t="s">
        <v>33</v>
      </c>
      <c r="N114" s="3" t="s">
        <v>101</v>
      </c>
      <c r="O114" s="3" t="s">
        <v>102</v>
      </c>
      <c r="P114" s="3" t="s">
        <v>47</v>
      </c>
      <c r="Q114" s="3">
        <v>1</v>
      </c>
      <c r="R114" s="3">
        <v>0</v>
      </c>
      <c r="S114" s="3">
        <v>1</v>
      </c>
      <c r="T114" s="3" t="s">
        <v>37</v>
      </c>
      <c r="U114" s="3">
        <v>2.2000000000000002</v>
      </c>
      <c r="V114" s="3">
        <v>2</v>
      </c>
      <c r="W114" s="3">
        <v>2</v>
      </c>
      <c r="X114" s="3">
        <v>2026</v>
      </c>
      <c r="Y114" s="3" t="s">
        <v>103</v>
      </c>
    </row>
    <row r="115" spans="1:25" ht="15">
      <c r="A115" s="2">
        <v>46268</v>
      </c>
      <c r="B115" s="2">
        <v>45811</v>
      </c>
      <c r="C115" s="3" t="s">
        <v>104</v>
      </c>
      <c r="D115" s="3" t="s">
        <v>26</v>
      </c>
      <c r="E115" s="3" t="s">
        <v>105</v>
      </c>
      <c r="F115" s="3">
        <v>1009</v>
      </c>
      <c r="G115" s="3" t="s">
        <v>106</v>
      </c>
      <c r="H115" s="3" t="s">
        <v>41</v>
      </c>
      <c r="I115" s="3">
        <v>29</v>
      </c>
      <c r="J115" s="3" t="s">
        <v>107</v>
      </c>
      <c r="K115" s="3" t="s">
        <v>296</v>
      </c>
      <c r="L115" s="3" t="s">
        <v>32</v>
      </c>
      <c r="M115" s="3" t="s">
        <v>44</v>
      </c>
      <c r="N115" s="3" t="s">
        <v>34</v>
      </c>
      <c r="O115" s="3" t="s">
        <v>109</v>
      </c>
      <c r="P115" s="3" t="s">
        <v>36</v>
      </c>
      <c r="Q115" s="3">
        <v>4</v>
      </c>
      <c r="R115" s="3">
        <v>0</v>
      </c>
      <c r="S115" s="3">
        <v>1</v>
      </c>
      <c r="T115" s="3" t="s">
        <v>48</v>
      </c>
      <c r="U115" s="3">
        <v>1.8</v>
      </c>
      <c r="V115" s="3">
        <v>3</v>
      </c>
      <c r="W115" s="3">
        <v>5</v>
      </c>
      <c r="X115" s="3">
        <v>2026</v>
      </c>
      <c r="Y115" s="3" t="s">
        <v>110</v>
      </c>
    </row>
    <row r="116" spans="1:25" ht="15">
      <c r="A116" s="2">
        <v>46298</v>
      </c>
      <c r="B116" s="2">
        <v>45933</v>
      </c>
      <c r="C116" s="3" t="s">
        <v>111</v>
      </c>
      <c r="D116" s="3" t="s">
        <v>26</v>
      </c>
      <c r="E116" s="3" t="s">
        <v>112</v>
      </c>
      <c r="F116" s="3">
        <v>1010</v>
      </c>
      <c r="G116" s="3" t="s">
        <v>113</v>
      </c>
      <c r="H116" s="3" t="s">
        <v>29</v>
      </c>
      <c r="I116" s="3">
        <v>15</v>
      </c>
      <c r="J116" s="3" t="s">
        <v>99</v>
      </c>
      <c r="K116" s="3" t="s">
        <v>250</v>
      </c>
      <c r="L116" s="3" t="s">
        <v>43</v>
      </c>
      <c r="M116" s="3" t="s">
        <v>33</v>
      </c>
      <c r="N116" s="3" t="s">
        <v>45</v>
      </c>
      <c r="O116" s="3" t="s">
        <v>115</v>
      </c>
      <c r="P116" s="3" t="s">
        <v>36</v>
      </c>
      <c r="Q116" s="3">
        <v>3</v>
      </c>
      <c r="R116" s="3">
        <v>0</v>
      </c>
      <c r="S116" s="3">
        <v>0</v>
      </c>
      <c r="T116" s="3" t="s">
        <v>37</v>
      </c>
      <c r="U116" s="3">
        <v>2.5</v>
      </c>
      <c r="V116" s="3">
        <v>3</v>
      </c>
      <c r="W116" s="3">
        <v>3</v>
      </c>
      <c r="X116" s="3">
        <v>2026</v>
      </c>
      <c r="Y116" s="3" t="s">
        <v>116</v>
      </c>
    </row>
    <row r="117" spans="1:25" ht="15">
      <c r="A117" s="2">
        <v>46025</v>
      </c>
      <c r="B117" s="2">
        <v>46145</v>
      </c>
      <c r="C117" s="3" t="s">
        <v>25</v>
      </c>
      <c r="D117" s="3" t="s">
        <v>26</v>
      </c>
      <c r="E117" s="3" t="s">
        <v>27</v>
      </c>
      <c r="F117" s="3">
        <v>1001</v>
      </c>
      <c r="G117" s="3" t="s">
        <v>28</v>
      </c>
      <c r="H117" s="3" t="s">
        <v>29</v>
      </c>
      <c r="I117" s="3">
        <v>45</v>
      </c>
      <c r="J117" s="3" t="s">
        <v>30</v>
      </c>
      <c r="K117" s="3" t="s">
        <v>297</v>
      </c>
      <c r="L117" s="3" t="s">
        <v>32</v>
      </c>
      <c r="M117" s="3" t="s">
        <v>33</v>
      </c>
      <c r="N117" s="3" t="s">
        <v>34</v>
      </c>
      <c r="O117" s="3" t="s">
        <v>35</v>
      </c>
      <c r="P117" s="3" t="s">
        <v>36</v>
      </c>
      <c r="Q117" s="3">
        <v>13</v>
      </c>
      <c r="R117" s="3">
        <v>7</v>
      </c>
      <c r="S117" s="3">
        <v>6</v>
      </c>
      <c r="T117" s="3" t="s">
        <v>37</v>
      </c>
      <c r="U117" s="3">
        <v>2.5</v>
      </c>
      <c r="V117" s="3">
        <v>7</v>
      </c>
      <c r="W117" s="3">
        <v>26</v>
      </c>
      <c r="X117" s="3">
        <v>2026</v>
      </c>
      <c r="Y117" s="3" t="s">
        <v>38</v>
      </c>
    </row>
    <row r="118" spans="1:25" ht="15">
      <c r="A118" s="2">
        <v>46056</v>
      </c>
      <c r="B118" s="2">
        <v>46206</v>
      </c>
      <c r="C118" s="3" t="s">
        <v>39</v>
      </c>
      <c r="D118" s="3" t="s">
        <v>26</v>
      </c>
      <c r="E118" s="3" t="s">
        <v>27</v>
      </c>
      <c r="F118" s="3">
        <v>1002</v>
      </c>
      <c r="G118" s="3" t="s">
        <v>40</v>
      </c>
      <c r="H118" s="3" t="s">
        <v>29</v>
      </c>
      <c r="I118" s="3">
        <v>32</v>
      </c>
      <c r="J118" s="3" t="s">
        <v>30</v>
      </c>
      <c r="K118" s="3" t="s">
        <v>149</v>
      </c>
      <c r="L118" s="3" t="s">
        <v>43</v>
      </c>
      <c r="M118" s="3" t="s">
        <v>44</v>
      </c>
      <c r="N118" s="3" t="s">
        <v>45</v>
      </c>
      <c r="O118" s="3" t="s">
        <v>46</v>
      </c>
      <c r="P118" s="3" t="s">
        <v>47</v>
      </c>
      <c r="Q118" s="3">
        <v>17</v>
      </c>
      <c r="R118" s="3">
        <v>12</v>
      </c>
      <c r="S118" s="3">
        <v>1</v>
      </c>
      <c r="T118" s="3" t="s">
        <v>48</v>
      </c>
      <c r="U118" s="3">
        <v>3</v>
      </c>
      <c r="V118" s="3">
        <v>5</v>
      </c>
      <c r="W118" s="3">
        <v>30</v>
      </c>
      <c r="X118" s="3">
        <v>2026</v>
      </c>
      <c r="Y118" s="3" t="s">
        <v>49</v>
      </c>
    </row>
    <row r="119" spans="1:25" ht="15">
      <c r="A119" s="2">
        <v>46084</v>
      </c>
      <c r="B119" s="2">
        <v>46176</v>
      </c>
      <c r="C119" s="3" t="s">
        <v>50</v>
      </c>
      <c r="D119" s="3" t="s">
        <v>26</v>
      </c>
      <c r="E119" s="3" t="s">
        <v>51</v>
      </c>
      <c r="F119" s="3">
        <v>1003</v>
      </c>
      <c r="G119" s="3" t="s">
        <v>52</v>
      </c>
      <c r="H119" s="3" t="s">
        <v>41</v>
      </c>
      <c r="I119" s="3">
        <v>60</v>
      </c>
      <c r="J119" s="3" t="s">
        <v>53</v>
      </c>
      <c r="K119" s="3" t="s">
        <v>298</v>
      </c>
      <c r="L119" s="3" t="s">
        <v>55</v>
      </c>
      <c r="M119" s="3" t="s">
        <v>33</v>
      </c>
      <c r="N119" s="3" t="s">
        <v>56</v>
      </c>
      <c r="O119" s="3" t="s">
        <v>57</v>
      </c>
      <c r="P119" s="3" t="s">
        <v>36</v>
      </c>
      <c r="Q119" s="3">
        <v>10</v>
      </c>
      <c r="R119" s="3">
        <v>3</v>
      </c>
      <c r="S119" s="3">
        <v>1</v>
      </c>
      <c r="T119" s="3" t="s">
        <v>37</v>
      </c>
      <c r="U119" s="3">
        <v>1.8</v>
      </c>
      <c r="V119" s="3">
        <v>6</v>
      </c>
      <c r="W119" s="3">
        <v>14</v>
      </c>
      <c r="X119" s="3">
        <v>2026</v>
      </c>
      <c r="Y119" s="3" t="s">
        <v>58</v>
      </c>
    </row>
    <row r="120" spans="1:25" ht="15">
      <c r="A120" s="2">
        <v>46115</v>
      </c>
      <c r="B120" s="2">
        <v>46298</v>
      </c>
      <c r="C120" s="3" t="s">
        <v>59</v>
      </c>
      <c r="D120" s="3" t="s">
        <v>26</v>
      </c>
      <c r="E120" s="3" t="s">
        <v>60</v>
      </c>
      <c r="F120" s="3">
        <v>1004</v>
      </c>
      <c r="G120" s="3" t="s">
        <v>61</v>
      </c>
      <c r="H120" s="3" t="s">
        <v>29</v>
      </c>
      <c r="I120" s="3">
        <v>70</v>
      </c>
      <c r="J120" s="3" t="s">
        <v>62</v>
      </c>
      <c r="K120" s="3" t="s">
        <v>209</v>
      </c>
      <c r="L120" s="3" t="s">
        <v>64</v>
      </c>
      <c r="M120" s="3" t="s">
        <v>33</v>
      </c>
      <c r="N120" s="3" t="s">
        <v>64</v>
      </c>
      <c r="O120" s="3" t="s">
        <v>65</v>
      </c>
      <c r="P120" s="3" t="s">
        <v>47</v>
      </c>
      <c r="Q120" s="3">
        <v>8</v>
      </c>
      <c r="R120" s="3">
        <v>2</v>
      </c>
      <c r="S120" s="3">
        <v>0</v>
      </c>
      <c r="T120" s="3" t="s">
        <v>66</v>
      </c>
      <c r="U120" s="3">
        <v>2.1</v>
      </c>
      <c r="V120" s="3">
        <v>8</v>
      </c>
      <c r="W120" s="3">
        <v>10</v>
      </c>
      <c r="X120" s="3">
        <v>2026</v>
      </c>
      <c r="Y120" s="3" t="s">
        <v>67</v>
      </c>
    </row>
    <row r="121" spans="1:25" ht="15">
      <c r="A121" s="2">
        <v>46145</v>
      </c>
      <c r="B121" s="2">
        <v>46329</v>
      </c>
      <c r="C121" s="3" t="s">
        <v>68</v>
      </c>
      <c r="D121" s="3" t="s">
        <v>26</v>
      </c>
      <c r="E121" s="3" t="s">
        <v>27</v>
      </c>
      <c r="F121" s="3">
        <v>1005</v>
      </c>
      <c r="G121" s="3" t="s">
        <v>69</v>
      </c>
      <c r="H121" s="3" t="s">
        <v>41</v>
      </c>
      <c r="I121" s="3">
        <v>38</v>
      </c>
      <c r="J121" s="3" t="s">
        <v>30</v>
      </c>
      <c r="K121" s="3" t="s">
        <v>263</v>
      </c>
      <c r="L121" s="3" t="s">
        <v>71</v>
      </c>
      <c r="M121" s="3" t="s">
        <v>44</v>
      </c>
      <c r="N121" s="3" t="s">
        <v>72</v>
      </c>
      <c r="O121" s="3" t="s">
        <v>73</v>
      </c>
      <c r="P121" s="3" t="s">
        <v>36</v>
      </c>
      <c r="Q121" s="3">
        <v>9</v>
      </c>
      <c r="R121" s="3">
        <v>1</v>
      </c>
      <c r="S121" s="3">
        <v>6</v>
      </c>
      <c r="T121" s="3" t="s">
        <v>37</v>
      </c>
      <c r="U121" s="3">
        <v>2.9</v>
      </c>
      <c r="V121" s="3">
        <v>4</v>
      </c>
      <c r="W121" s="3">
        <v>16</v>
      </c>
      <c r="X121" s="3">
        <v>2026</v>
      </c>
      <c r="Y121" s="3" t="s">
        <v>74</v>
      </c>
    </row>
    <row r="122" spans="1:25" ht="15">
      <c r="A122" s="2">
        <v>46176</v>
      </c>
      <c r="B122" s="2">
        <v>46359</v>
      </c>
      <c r="C122" s="3" t="s">
        <v>79</v>
      </c>
      <c r="D122" s="3" t="s">
        <v>26</v>
      </c>
      <c r="E122" s="3" t="s">
        <v>80</v>
      </c>
      <c r="F122" s="3">
        <v>1006</v>
      </c>
      <c r="G122" s="3" t="s">
        <v>81</v>
      </c>
      <c r="H122" s="3" t="s">
        <v>29</v>
      </c>
      <c r="I122" s="3">
        <v>25</v>
      </c>
      <c r="J122" s="3" t="s">
        <v>82</v>
      </c>
      <c r="K122" s="3" t="s">
        <v>267</v>
      </c>
      <c r="L122" s="3" t="s">
        <v>84</v>
      </c>
      <c r="M122" s="3" t="s">
        <v>33</v>
      </c>
      <c r="N122" s="3" t="s">
        <v>85</v>
      </c>
      <c r="O122" s="3" t="s">
        <v>86</v>
      </c>
      <c r="P122" s="3" t="s">
        <v>36</v>
      </c>
      <c r="Q122" s="3">
        <v>5</v>
      </c>
      <c r="R122" s="3">
        <v>0</v>
      </c>
      <c r="S122" s="3">
        <v>1</v>
      </c>
      <c r="T122" s="3" t="s">
        <v>37</v>
      </c>
      <c r="U122" s="3">
        <v>1.5</v>
      </c>
      <c r="V122" s="3">
        <v>3</v>
      </c>
      <c r="W122" s="3">
        <v>6</v>
      </c>
      <c r="X122" s="3">
        <v>2026</v>
      </c>
      <c r="Y122" s="3" t="s">
        <v>87</v>
      </c>
    </row>
    <row r="123" spans="1:25" ht="15">
      <c r="A123" s="2">
        <v>46206</v>
      </c>
      <c r="B123" s="2">
        <v>45719</v>
      </c>
      <c r="C123" s="3" t="s">
        <v>88</v>
      </c>
      <c r="D123" s="3" t="s">
        <v>26</v>
      </c>
      <c r="E123" s="3" t="s">
        <v>89</v>
      </c>
      <c r="F123" s="3">
        <v>1007</v>
      </c>
      <c r="G123" s="3" t="s">
        <v>90</v>
      </c>
      <c r="H123" s="3" t="s">
        <v>41</v>
      </c>
      <c r="I123" s="3">
        <v>18</v>
      </c>
      <c r="J123" s="3" t="s">
        <v>91</v>
      </c>
      <c r="K123" s="3" t="s">
        <v>145</v>
      </c>
      <c r="L123" s="3" t="s">
        <v>93</v>
      </c>
      <c r="M123" s="3" t="s">
        <v>44</v>
      </c>
      <c r="N123" s="3" t="s">
        <v>45</v>
      </c>
      <c r="O123" s="3" t="s">
        <v>94</v>
      </c>
      <c r="P123" s="3" t="s">
        <v>36</v>
      </c>
      <c r="Q123" s="3">
        <v>2</v>
      </c>
      <c r="R123" s="3">
        <v>0</v>
      </c>
      <c r="S123" s="3">
        <v>2</v>
      </c>
      <c r="T123" s="3" t="s">
        <v>48</v>
      </c>
      <c r="U123" s="3">
        <v>1</v>
      </c>
      <c r="V123" s="3">
        <v>1</v>
      </c>
      <c r="W123" s="3">
        <v>4</v>
      </c>
      <c r="X123" s="3">
        <v>2026</v>
      </c>
      <c r="Y123" s="3" t="s">
        <v>95</v>
      </c>
    </row>
    <row r="124" spans="1:25" ht="15">
      <c r="A124" s="2">
        <v>46206</v>
      </c>
      <c r="B124" s="2">
        <v>45842</v>
      </c>
      <c r="C124" s="3" t="s">
        <v>214</v>
      </c>
      <c r="D124" s="3" t="s">
        <v>26</v>
      </c>
      <c r="E124" s="3" t="s">
        <v>51</v>
      </c>
      <c r="F124" s="3">
        <v>1037</v>
      </c>
      <c r="G124" s="3" t="s">
        <v>215</v>
      </c>
      <c r="H124" s="3" t="s">
        <v>29</v>
      </c>
      <c r="I124" s="3">
        <v>39</v>
      </c>
      <c r="J124" s="3" t="s">
        <v>30</v>
      </c>
      <c r="K124" s="3" t="s">
        <v>267</v>
      </c>
      <c r="L124" s="3" t="s">
        <v>43</v>
      </c>
      <c r="M124" s="3" t="s">
        <v>33</v>
      </c>
      <c r="N124" s="3" t="s">
        <v>45</v>
      </c>
      <c r="O124" s="3" t="s">
        <v>46</v>
      </c>
      <c r="P124" s="3" t="s">
        <v>36</v>
      </c>
      <c r="Q124" s="3">
        <v>3</v>
      </c>
      <c r="R124" s="3">
        <v>0</v>
      </c>
      <c r="S124" s="3">
        <v>6</v>
      </c>
      <c r="T124" s="3" t="s">
        <v>37</v>
      </c>
      <c r="U124" s="3">
        <v>1.3</v>
      </c>
      <c r="V124" s="3">
        <v>1</v>
      </c>
      <c r="W124" s="3">
        <v>9</v>
      </c>
      <c r="X124" s="3">
        <v>2026</v>
      </c>
      <c r="Y124" s="3" t="s">
        <v>95</v>
      </c>
    </row>
    <row r="125" spans="1:25" ht="15">
      <c r="A125" s="2">
        <v>46237</v>
      </c>
      <c r="B125" s="2">
        <v>45873</v>
      </c>
      <c r="C125" s="3" t="s">
        <v>216</v>
      </c>
      <c r="D125" s="3" t="s">
        <v>26</v>
      </c>
      <c r="E125" s="3" t="s">
        <v>217</v>
      </c>
      <c r="F125" s="3">
        <v>1038</v>
      </c>
      <c r="G125" s="3" t="s">
        <v>161</v>
      </c>
      <c r="H125" s="3" t="s">
        <v>29</v>
      </c>
      <c r="I125" s="3">
        <v>45</v>
      </c>
      <c r="J125" s="3" t="s">
        <v>53</v>
      </c>
      <c r="K125" s="3" t="s">
        <v>278</v>
      </c>
      <c r="L125" s="3" t="s">
        <v>64</v>
      </c>
      <c r="M125" s="3" t="s">
        <v>44</v>
      </c>
      <c r="N125" s="3" t="s">
        <v>64</v>
      </c>
      <c r="O125" s="3" t="s">
        <v>109</v>
      </c>
      <c r="P125" s="3" t="s">
        <v>36</v>
      </c>
      <c r="Q125" s="3">
        <v>2</v>
      </c>
      <c r="R125" s="3">
        <v>0</v>
      </c>
      <c r="S125" s="3">
        <v>6</v>
      </c>
      <c r="T125" s="3" t="s">
        <v>48</v>
      </c>
      <c r="U125" s="3">
        <v>1.8</v>
      </c>
      <c r="V125" s="3">
        <v>3</v>
      </c>
      <c r="W125" s="3">
        <v>8</v>
      </c>
      <c r="X125" s="3">
        <v>2026</v>
      </c>
      <c r="Y125" s="3" t="s">
        <v>103</v>
      </c>
    </row>
    <row r="126" spans="1:25" ht="15">
      <c r="A126" s="2">
        <v>46268</v>
      </c>
      <c r="B126" s="2">
        <v>45904</v>
      </c>
      <c r="C126" s="3" t="s">
        <v>218</v>
      </c>
      <c r="D126" s="3" t="s">
        <v>26</v>
      </c>
      <c r="E126" s="3" t="s">
        <v>147</v>
      </c>
      <c r="F126" s="3">
        <v>1039</v>
      </c>
      <c r="G126" s="3" t="s">
        <v>158</v>
      </c>
      <c r="H126" s="3" t="s">
        <v>41</v>
      </c>
      <c r="I126" s="3">
        <v>55</v>
      </c>
      <c r="J126" s="3" t="s">
        <v>53</v>
      </c>
      <c r="K126" s="3" t="s">
        <v>267</v>
      </c>
      <c r="L126" s="3" t="s">
        <v>93</v>
      </c>
      <c r="M126" s="3" t="s">
        <v>33</v>
      </c>
      <c r="N126" s="3" t="s">
        <v>101</v>
      </c>
      <c r="O126" s="3" t="s">
        <v>94</v>
      </c>
      <c r="P126" s="3" t="s">
        <v>36</v>
      </c>
      <c r="Q126" s="3">
        <v>1</v>
      </c>
      <c r="R126" s="3">
        <v>0</v>
      </c>
      <c r="S126" s="3">
        <v>1</v>
      </c>
      <c r="T126" s="3" t="s">
        <v>37</v>
      </c>
      <c r="U126" s="3">
        <v>2</v>
      </c>
      <c r="V126" s="3">
        <v>2</v>
      </c>
      <c r="W126" s="3">
        <v>2</v>
      </c>
      <c r="X126" s="3">
        <v>2026</v>
      </c>
      <c r="Y126" s="3" t="s">
        <v>110</v>
      </c>
    </row>
    <row r="127" spans="1:25" ht="15">
      <c r="A127" s="2">
        <v>46056</v>
      </c>
      <c r="B127" s="2">
        <v>45934</v>
      </c>
      <c r="C127" s="3" t="s">
        <v>219</v>
      </c>
      <c r="D127" s="3" t="s">
        <v>26</v>
      </c>
      <c r="E127" s="3" t="s">
        <v>186</v>
      </c>
      <c r="F127" s="3">
        <v>1040</v>
      </c>
      <c r="G127" s="3" t="s">
        <v>180</v>
      </c>
      <c r="H127" s="3" t="s">
        <v>29</v>
      </c>
      <c r="I127" s="3">
        <v>42</v>
      </c>
      <c r="J127" s="3" t="s">
        <v>30</v>
      </c>
      <c r="K127" s="3" t="s">
        <v>131</v>
      </c>
      <c r="L127" s="3" t="s">
        <v>55</v>
      </c>
      <c r="M127" s="3" t="s">
        <v>44</v>
      </c>
      <c r="N127" s="3" t="s">
        <v>34</v>
      </c>
      <c r="O127" s="3" t="s">
        <v>35</v>
      </c>
      <c r="P127" s="3" t="s">
        <v>36</v>
      </c>
      <c r="Q127" s="3">
        <v>3</v>
      </c>
      <c r="R127" s="3">
        <v>0</v>
      </c>
      <c r="S127" s="3">
        <v>1</v>
      </c>
      <c r="T127" s="3" t="s">
        <v>48</v>
      </c>
      <c r="U127" s="3">
        <v>2.1</v>
      </c>
      <c r="V127" s="3">
        <v>2</v>
      </c>
      <c r="W127" s="3">
        <v>4</v>
      </c>
      <c r="X127" s="3">
        <v>2026</v>
      </c>
      <c r="Y127" s="3" t="s">
        <v>49</v>
      </c>
    </row>
    <row r="128" spans="1:25" ht="15">
      <c r="A128" s="2">
        <v>46025</v>
      </c>
      <c r="B128" s="2">
        <v>45965</v>
      </c>
      <c r="C128" s="3" t="s">
        <v>220</v>
      </c>
      <c r="D128" s="3" t="s">
        <v>26</v>
      </c>
      <c r="E128" s="3" t="s">
        <v>221</v>
      </c>
      <c r="F128" s="3">
        <v>1041</v>
      </c>
      <c r="G128" s="3" t="s">
        <v>222</v>
      </c>
      <c r="H128" s="3" t="s">
        <v>41</v>
      </c>
      <c r="I128" s="3">
        <v>29</v>
      </c>
      <c r="J128" s="3" t="s">
        <v>107</v>
      </c>
      <c r="K128" s="3" t="s">
        <v>299</v>
      </c>
      <c r="L128" s="3" t="s">
        <v>32</v>
      </c>
      <c r="M128" s="3" t="s">
        <v>33</v>
      </c>
      <c r="N128" s="3" t="s">
        <v>45</v>
      </c>
      <c r="O128" s="3" t="s">
        <v>57</v>
      </c>
      <c r="P128" s="3" t="s">
        <v>36</v>
      </c>
      <c r="Q128" s="3">
        <v>4</v>
      </c>
      <c r="R128" s="3">
        <v>1</v>
      </c>
      <c r="S128" s="3">
        <v>1</v>
      </c>
      <c r="T128" s="3" t="s">
        <v>37</v>
      </c>
      <c r="U128" s="3">
        <v>2.2999999999999998</v>
      </c>
      <c r="V128" s="3">
        <v>2</v>
      </c>
      <c r="W128" s="3">
        <v>6</v>
      </c>
      <c r="X128" s="3">
        <v>2026</v>
      </c>
      <c r="Y128" s="3" t="s">
        <v>38</v>
      </c>
    </row>
    <row r="129" spans="1:25" ht="15">
      <c r="A129" s="2">
        <v>46056</v>
      </c>
      <c r="B129" s="2">
        <v>45995</v>
      </c>
      <c r="C129" s="3" t="s">
        <v>223</v>
      </c>
      <c r="D129" s="3" t="s">
        <v>26</v>
      </c>
      <c r="E129" s="3" t="s">
        <v>139</v>
      </c>
      <c r="F129" s="3">
        <v>1042</v>
      </c>
      <c r="G129" s="3" t="s">
        <v>224</v>
      </c>
      <c r="H129" s="3" t="s">
        <v>29</v>
      </c>
      <c r="I129" s="3">
        <v>36</v>
      </c>
      <c r="J129" s="3" t="s">
        <v>30</v>
      </c>
      <c r="K129" s="3" t="s">
        <v>232</v>
      </c>
      <c r="L129" s="3" t="s">
        <v>84</v>
      </c>
      <c r="M129" s="3" t="s">
        <v>44</v>
      </c>
      <c r="N129" s="3" t="s">
        <v>85</v>
      </c>
      <c r="O129" s="3" t="s">
        <v>109</v>
      </c>
      <c r="P129" s="3" t="s">
        <v>36</v>
      </c>
      <c r="Q129" s="3">
        <v>2</v>
      </c>
      <c r="R129" s="3">
        <v>0</v>
      </c>
      <c r="S129" s="3">
        <v>4</v>
      </c>
      <c r="T129" s="3" t="s">
        <v>37</v>
      </c>
      <c r="U129" s="3">
        <v>1.6</v>
      </c>
      <c r="V129" s="3">
        <v>2</v>
      </c>
      <c r="W129" s="3">
        <v>6</v>
      </c>
      <c r="X129" s="3">
        <v>2026</v>
      </c>
      <c r="Y129" s="3" t="s">
        <v>49</v>
      </c>
    </row>
    <row r="130" spans="1:25" ht="15">
      <c r="A130" s="2">
        <v>46084</v>
      </c>
      <c r="B130" s="2">
        <v>46026</v>
      </c>
      <c r="C130" s="3" t="s">
        <v>226</v>
      </c>
      <c r="D130" s="3" t="s">
        <v>26</v>
      </c>
      <c r="E130" s="3" t="s">
        <v>227</v>
      </c>
      <c r="F130" s="3">
        <v>1043</v>
      </c>
      <c r="G130" s="3" t="s">
        <v>228</v>
      </c>
      <c r="H130" s="3" t="s">
        <v>29</v>
      </c>
      <c r="I130" s="3">
        <v>48</v>
      </c>
      <c r="J130" s="3" t="s">
        <v>53</v>
      </c>
      <c r="K130" s="3" t="s">
        <v>286</v>
      </c>
      <c r="L130" s="3" t="s">
        <v>43</v>
      </c>
      <c r="M130" s="3" t="s">
        <v>33</v>
      </c>
      <c r="N130" s="3" t="s">
        <v>72</v>
      </c>
      <c r="O130" s="3" t="s">
        <v>86</v>
      </c>
      <c r="P130" s="3" t="s">
        <v>36</v>
      </c>
      <c r="Q130" s="3">
        <v>3</v>
      </c>
      <c r="R130" s="3">
        <v>0</v>
      </c>
      <c r="S130" s="3">
        <v>1</v>
      </c>
      <c r="T130" s="3" t="s">
        <v>37</v>
      </c>
      <c r="U130" s="3">
        <v>1.8</v>
      </c>
      <c r="V130" s="3">
        <v>2</v>
      </c>
      <c r="W130" s="3">
        <v>4</v>
      </c>
      <c r="X130" s="3">
        <v>2026</v>
      </c>
      <c r="Y130" s="3" t="s">
        <v>58</v>
      </c>
    </row>
    <row r="131" spans="1:25" ht="15">
      <c r="A131" s="2">
        <v>46115</v>
      </c>
      <c r="B131" s="2">
        <v>46057</v>
      </c>
      <c r="C131" s="3" t="s">
        <v>230</v>
      </c>
      <c r="D131" s="3" t="s">
        <v>26</v>
      </c>
      <c r="E131" s="3" t="s">
        <v>202</v>
      </c>
      <c r="F131" s="3">
        <v>1044</v>
      </c>
      <c r="G131" s="3" t="s">
        <v>231</v>
      </c>
      <c r="H131" s="3" t="s">
        <v>29</v>
      </c>
      <c r="I131" s="3">
        <v>34</v>
      </c>
      <c r="J131" s="3" t="s">
        <v>30</v>
      </c>
      <c r="K131" s="3" t="s">
        <v>299</v>
      </c>
      <c r="L131" s="3" t="s">
        <v>55</v>
      </c>
      <c r="M131" s="3" t="s">
        <v>44</v>
      </c>
      <c r="N131" s="3" t="s">
        <v>56</v>
      </c>
      <c r="O131" s="3" t="s">
        <v>35</v>
      </c>
      <c r="P131" s="3" t="s">
        <v>36</v>
      </c>
      <c r="Q131" s="3">
        <v>4</v>
      </c>
      <c r="R131" s="3">
        <v>0</v>
      </c>
      <c r="S131" s="3">
        <v>0</v>
      </c>
      <c r="T131" s="3" t="s">
        <v>48</v>
      </c>
      <c r="U131" s="3">
        <v>1.4</v>
      </c>
      <c r="V131" s="3">
        <v>2</v>
      </c>
      <c r="W131" s="3">
        <v>4</v>
      </c>
      <c r="X131" s="3">
        <v>2026</v>
      </c>
      <c r="Y131" s="3" t="s">
        <v>67</v>
      </c>
    </row>
    <row r="132" spans="1:25" ht="15">
      <c r="A132" s="2">
        <v>46145</v>
      </c>
      <c r="B132" s="2">
        <v>46085</v>
      </c>
      <c r="C132" s="3" t="s">
        <v>233</v>
      </c>
      <c r="D132" s="3" t="s">
        <v>26</v>
      </c>
      <c r="E132" s="3" t="s">
        <v>234</v>
      </c>
      <c r="F132" s="3">
        <v>1045</v>
      </c>
      <c r="G132" s="3" t="s">
        <v>235</v>
      </c>
      <c r="H132" s="3" t="s">
        <v>41</v>
      </c>
      <c r="I132" s="3">
        <v>57</v>
      </c>
      <c r="J132" s="3" t="s">
        <v>53</v>
      </c>
      <c r="K132" s="3" t="s">
        <v>229</v>
      </c>
      <c r="L132" s="3" t="s">
        <v>84</v>
      </c>
      <c r="M132" s="3" t="s">
        <v>33</v>
      </c>
      <c r="N132" s="3" t="s">
        <v>85</v>
      </c>
      <c r="O132" s="3" t="s">
        <v>57</v>
      </c>
      <c r="P132" s="3" t="s">
        <v>36</v>
      </c>
      <c r="Q132" s="3">
        <v>3</v>
      </c>
      <c r="R132" s="3">
        <v>1</v>
      </c>
      <c r="S132" s="3">
        <v>2</v>
      </c>
      <c r="T132" s="3" t="s">
        <v>37</v>
      </c>
      <c r="U132" s="3">
        <v>2.7</v>
      </c>
      <c r="V132" s="3">
        <v>3</v>
      </c>
      <c r="W132" s="3">
        <v>6</v>
      </c>
      <c r="X132" s="3">
        <v>2026</v>
      </c>
      <c r="Y132" s="3" t="s">
        <v>74</v>
      </c>
    </row>
    <row r="133" spans="1:25" ht="15">
      <c r="A133" s="2">
        <v>46176</v>
      </c>
      <c r="B133" s="2">
        <v>46116</v>
      </c>
      <c r="C133" s="3" t="s">
        <v>150</v>
      </c>
      <c r="D133" s="3" t="s">
        <v>26</v>
      </c>
      <c r="E133" s="3" t="s">
        <v>147</v>
      </c>
      <c r="F133" s="3">
        <v>1046</v>
      </c>
      <c r="G133" s="3" t="s">
        <v>236</v>
      </c>
      <c r="H133" s="3" t="s">
        <v>29</v>
      </c>
      <c r="I133" s="3">
        <v>39</v>
      </c>
      <c r="J133" s="3" t="s">
        <v>30</v>
      </c>
      <c r="K133" s="3" t="s">
        <v>229</v>
      </c>
      <c r="L133" s="3" t="s">
        <v>93</v>
      </c>
      <c r="M133" s="3" t="s">
        <v>44</v>
      </c>
      <c r="N133" s="3" t="s">
        <v>45</v>
      </c>
      <c r="O133" s="3" t="s">
        <v>46</v>
      </c>
      <c r="P133" s="3" t="s">
        <v>36</v>
      </c>
      <c r="Q133" s="3">
        <v>2</v>
      </c>
      <c r="R133" s="3">
        <v>0</v>
      </c>
      <c r="S133" s="3">
        <v>2</v>
      </c>
      <c r="T133" s="3" t="s">
        <v>37</v>
      </c>
      <c r="U133" s="3">
        <v>1.5</v>
      </c>
      <c r="V133" s="3">
        <v>2</v>
      </c>
      <c r="W133" s="3">
        <v>4</v>
      </c>
      <c r="X133" s="3">
        <v>2026</v>
      </c>
      <c r="Y133" s="3" t="s">
        <v>87</v>
      </c>
    </row>
    <row r="134" spans="1:25" ht="15">
      <c r="A134" s="2">
        <v>46206</v>
      </c>
      <c r="B134" s="2">
        <v>46146</v>
      </c>
      <c r="C134" s="3" t="s">
        <v>237</v>
      </c>
      <c r="D134" s="3" t="s">
        <v>26</v>
      </c>
      <c r="E134" s="3" t="s">
        <v>157</v>
      </c>
      <c r="F134" s="3">
        <v>1047</v>
      </c>
      <c r="G134" s="3" t="s">
        <v>238</v>
      </c>
      <c r="H134" s="3" t="s">
        <v>41</v>
      </c>
      <c r="I134" s="3">
        <v>31</v>
      </c>
      <c r="J134" s="3" t="s">
        <v>107</v>
      </c>
      <c r="K134" s="3" t="s">
        <v>137</v>
      </c>
      <c r="L134" s="3" t="s">
        <v>32</v>
      </c>
      <c r="M134" s="3" t="s">
        <v>33</v>
      </c>
      <c r="N134" s="3" t="s">
        <v>34</v>
      </c>
      <c r="O134" s="3" t="s">
        <v>109</v>
      </c>
      <c r="P134" s="3" t="s">
        <v>36</v>
      </c>
      <c r="Q134" s="3">
        <v>4</v>
      </c>
      <c r="R134" s="3">
        <v>0</v>
      </c>
      <c r="S134" s="3">
        <v>1</v>
      </c>
      <c r="T134" s="3" t="s">
        <v>37</v>
      </c>
      <c r="U134" s="3">
        <v>2.1</v>
      </c>
      <c r="V134" s="3">
        <v>2</v>
      </c>
      <c r="W134" s="3">
        <v>5</v>
      </c>
      <c r="X134" s="3">
        <v>2026</v>
      </c>
      <c r="Y134" s="3" t="s">
        <v>95</v>
      </c>
    </row>
    <row r="135" spans="1:25" ht="15">
      <c r="A135" s="2">
        <v>46237</v>
      </c>
      <c r="B135" s="2">
        <v>46177</v>
      </c>
      <c r="C135" s="3" t="s">
        <v>240</v>
      </c>
      <c r="D135" s="3" t="s">
        <v>26</v>
      </c>
      <c r="E135" s="3" t="s">
        <v>129</v>
      </c>
      <c r="F135" s="3">
        <v>1048</v>
      </c>
      <c r="G135" s="3" t="s">
        <v>241</v>
      </c>
      <c r="H135" s="3" t="s">
        <v>29</v>
      </c>
      <c r="I135" s="3">
        <v>53</v>
      </c>
      <c r="J135" s="3" t="s">
        <v>53</v>
      </c>
      <c r="K135" s="3" t="s">
        <v>83</v>
      </c>
      <c r="L135" s="3" t="s">
        <v>43</v>
      </c>
      <c r="M135" s="3" t="s">
        <v>44</v>
      </c>
      <c r="N135" s="3" t="s">
        <v>72</v>
      </c>
      <c r="O135" s="3" t="s">
        <v>86</v>
      </c>
      <c r="P135" s="3" t="s">
        <v>36</v>
      </c>
      <c r="Q135" s="3">
        <v>3</v>
      </c>
      <c r="R135" s="3">
        <v>0</v>
      </c>
      <c r="S135" s="3">
        <v>0</v>
      </c>
      <c r="T135" s="3" t="s">
        <v>48</v>
      </c>
      <c r="U135" s="3">
        <v>1.9</v>
      </c>
      <c r="V135" s="3">
        <v>2</v>
      </c>
      <c r="W135" s="3">
        <v>3</v>
      </c>
      <c r="X135" s="3">
        <v>2026</v>
      </c>
      <c r="Y135" s="3" t="s">
        <v>103</v>
      </c>
    </row>
    <row r="136" spans="1:25" ht="15">
      <c r="A136" s="2">
        <v>46268</v>
      </c>
      <c r="B136" s="2">
        <v>46027</v>
      </c>
      <c r="C136" s="3" t="s">
        <v>79</v>
      </c>
      <c r="D136" s="3" t="s">
        <v>26</v>
      </c>
      <c r="E136" s="3" t="s">
        <v>193</v>
      </c>
      <c r="F136" s="3">
        <v>1049</v>
      </c>
      <c r="G136" s="3" t="s">
        <v>242</v>
      </c>
      <c r="H136" s="3" t="s">
        <v>41</v>
      </c>
      <c r="I136" s="3">
        <v>45</v>
      </c>
      <c r="J136" s="3" t="s">
        <v>53</v>
      </c>
      <c r="K136" s="3" t="s">
        <v>263</v>
      </c>
      <c r="L136" s="3" t="s">
        <v>55</v>
      </c>
      <c r="M136" s="3" t="s">
        <v>33</v>
      </c>
      <c r="N136" s="3" t="s">
        <v>56</v>
      </c>
      <c r="O136" s="3" t="s">
        <v>94</v>
      </c>
      <c r="P136" s="3" t="s">
        <v>36</v>
      </c>
      <c r="Q136" s="3">
        <v>4</v>
      </c>
      <c r="R136" s="3">
        <v>1</v>
      </c>
      <c r="S136" s="3">
        <v>2</v>
      </c>
      <c r="T136" s="3" t="s">
        <v>37</v>
      </c>
      <c r="U136" s="3">
        <v>2.6</v>
      </c>
      <c r="V136" s="3">
        <v>3</v>
      </c>
      <c r="W136" s="3">
        <v>7</v>
      </c>
      <c r="X136" s="3">
        <v>2026</v>
      </c>
      <c r="Y136" s="3" t="s">
        <v>110</v>
      </c>
    </row>
    <row r="137" spans="1:25" ht="15">
      <c r="A137" s="2">
        <v>46145</v>
      </c>
      <c r="B137" s="2">
        <v>46058</v>
      </c>
      <c r="C137" s="3" t="s">
        <v>111</v>
      </c>
      <c r="D137" s="3" t="s">
        <v>26</v>
      </c>
      <c r="E137" s="3" t="s">
        <v>164</v>
      </c>
      <c r="F137" s="3">
        <v>1050</v>
      </c>
      <c r="G137" s="3" t="s">
        <v>243</v>
      </c>
      <c r="H137" s="3" t="s">
        <v>29</v>
      </c>
      <c r="I137" s="3">
        <v>60</v>
      </c>
      <c r="J137" s="3" t="s">
        <v>62</v>
      </c>
      <c r="K137" s="3" t="s">
        <v>137</v>
      </c>
      <c r="L137" s="3" t="s">
        <v>84</v>
      </c>
      <c r="M137" s="3" t="s">
        <v>44</v>
      </c>
      <c r="N137" s="3" t="s">
        <v>85</v>
      </c>
      <c r="O137" s="3" t="s">
        <v>57</v>
      </c>
      <c r="P137" s="3" t="s">
        <v>36</v>
      </c>
      <c r="Q137" s="3">
        <v>2</v>
      </c>
      <c r="R137" s="3">
        <v>0</v>
      </c>
      <c r="S137" s="3">
        <v>2</v>
      </c>
      <c r="T137" s="3" t="s">
        <v>48</v>
      </c>
      <c r="U137" s="3">
        <v>2.4</v>
      </c>
      <c r="V137" s="3">
        <v>2</v>
      </c>
      <c r="W137" s="3">
        <v>4</v>
      </c>
      <c r="X137" s="3">
        <v>2026</v>
      </c>
      <c r="Y137" s="3" t="s">
        <v>74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
  <sheetViews>
    <sheetView topLeftCell="E1" zoomScale="140" zoomScaleNormal="140" workbookViewId="0">
      <selection activeCell="E9" sqref="E9"/>
    </sheetView>
  </sheetViews>
  <sheetFormatPr defaultRowHeight="14.25"/>
  <cols>
    <col min="1" max="2" width="16.375" customWidth="1"/>
    <col min="3" max="3" width="15.5" customWidth="1"/>
    <col min="4" max="4" width="17.5" customWidth="1"/>
    <col min="5" max="5" width="15.125" customWidth="1"/>
    <col min="6" max="6" width="11.375" customWidth="1"/>
    <col min="7" max="7" width="14.5" customWidth="1"/>
    <col min="8" max="8" width="9.5" customWidth="1"/>
    <col min="10" max="10" width="12.25" customWidth="1"/>
    <col min="12" max="12" width="10" customWidth="1"/>
    <col min="13" max="13" width="13.125" customWidth="1"/>
    <col min="14" max="14" width="18.5" customWidth="1"/>
    <col min="15" max="15" width="12.125" customWidth="1"/>
    <col min="16" max="16" width="27.875" customWidth="1"/>
    <col min="17" max="17" width="15.875" customWidth="1"/>
    <col min="18" max="18" width="11.875" customWidth="1"/>
    <col min="19" max="19" width="18.375" customWidth="1"/>
    <col min="20" max="20" width="16.625" customWidth="1"/>
    <col min="21" max="21" width="32.875" customWidth="1"/>
    <col min="22" max="22" width="22.625" customWidth="1"/>
    <col min="23" max="23" width="15"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s="19">
        <v>46237</v>
      </c>
      <c r="B2" s="19">
        <v>45873</v>
      </c>
      <c r="C2" t="s">
        <v>216</v>
      </c>
      <c r="D2" t="s">
        <v>26</v>
      </c>
      <c r="E2" t="s">
        <v>217</v>
      </c>
      <c r="F2">
        <v>1038</v>
      </c>
      <c r="G2" t="s">
        <v>161</v>
      </c>
      <c r="H2" t="s">
        <v>29</v>
      </c>
      <c r="I2">
        <v>45</v>
      </c>
      <c r="J2" t="s">
        <v>53</v>
      </c>
      <c r="K2" t="s">
        <v>278</v>
      </c>
      <c r="L2" t="s">
        <v>64</v>
      </c>
      <c r="M2" t="s">
        <v>44</v>
      </c>
      <c r="N2" t="s">
        <v>64</v>
      </c>
      <c r="O2" t="s">
        <v>109</v>
      </c>
      <c r="P2" t="s">
        <v>36</v>
      </c>
      <c r="Q2">
        <v>2</v>
      </c>
      <c r="R2">
        <v>0</v>
      </c>
      <c r="S2">
        <v>6</v>
      </c>
      <c r="T2" t="s">
        <v>48</v>
      </c>
      <c r="U2">
        <v>1.8</v>
      </c>
      <c r="V2">
        <v>3</v>
      </c>
      <c r="W2">
        <v>8</v>
      </c>
      <c r="X2">
        <v>2026</v>
      </c>
      <c r="Y2" t="s">
        <v>103</v>
      </c>
    </row>
    <row r="3" spans="1:25">
      <c r="A3" s="19">
        <v>46115</v>
      </c>
      <c r="B3" s="19">
        <v>46298</v>
      </c>
      <c r="C3" t="s">
        <v>59</v>
      </c>
      <c r="D3" t="s">
        <v>26</v>
      </c>
      <c r="E3" t="s">
        <v>60</v>
      </c>
      <c r="F3">
        <v>1004</v>
      </c>
      <c r="G3" t="s">
        <v>61</v>
      </c>
      <c r="H3" t="s">
        <v>29</v>
      </c>
      <c r="I3">
        <v>70</v>
      </c>
      <c r="J3" t="s">
        <v>62</v>
      </c>
      <c r="K3" t="s">
        <v>209</v>
      </c>
      <c r="L3" t="s">
        <v>64</v>
      </c>
      <c r="M3" t="s">
        <v>33</v>
      </c>
      <c r="N3" t="s">
        <v>64</v>
      </c>
      <c r="O3" t="s">
        <v>65</v>
      </c>
      <c r="P3" t="s">
        <v>47</v>
      </c>
      <c r="Q3">
        <v>8</v>
      </c>
      <c r="R3">
        <v>2</v>
      </c>
      <c r="S3">
        <v>0</v>
      </c>
      <c r="T3" t="s">
        <v>66</v>
      </c>
      <c r="U3">
        <v>2.1</v>
      </c>
      <c r="V3">
        <v>8</v>
      </c>
      <c r="W3">
        <v>10</v>
      </c>
      <c r="X3">
        <v>2026</v>
      </c>
      <c r="Y3" t="s">
        <v>67</v>
      </c>
    </row>
    <row r="4" spans="1:25">
      <c r="A4" s="19">
        <v>46115</v>
      </c>
      <c r="B4" s="19">
        <v>46298</v>
      </c>
      <c r="C4" t="s">
        <v>59</v>
      </c>
      <c r="D4" t="s">
        <v>26</v>
      </c>
      <c r="E4" t="s">
        <v>60</v>
      </c>
      <c r="F4">
        <v>1004</v>
      </c>
      <c r="G4" t="s">
        <v>61</v>
      </c>
      <c r="H4" t="s">
        <v>29</v>
      </c>
      <c r="I4">
        <v>70</v>
      </c>
      <c r="J4" t="s">
        <v>62</v>
      </c>
      <c r="K4" t="s">
        <v>100</v>
      </c>
      <c r="L4" t="s">
        <v>64</v>
      </c>
      <c r="M4" t="s">
        <v>33</v>
      </c>
      <c r="N4" t="s">
        <v>64</v>
      </c>
      <c r="O4" t="s">
        <v>65</v>
      </c>
      <c r="P4" t="s">
        <v>47</v>
      </c>
      <c r="Q4">
        <v>8</v>
      </c>
      <c r="R4">
        <v>2</v>
      </c>
      <c r="S4">
        <v>0</v>
      </c>
      <c r="T4" t="s">
        <v>66</v>
      </c>
      <c r="U4">
        <v>2.1</v>
      </c>
      <c r="V4">
        <v>8</v>
      </c>
      <c r="W4">
        <v>10</v>
      </c>
      <c r="X4">
        <v>2026</v>
      </c>
      <c r="Y4" t="s">
        <v>67</v>
      </c>
    </row>
    <row r="5" spans="1:25">
      <c r="A5" s="19">
        <v>45750</v>
      </c>
      <c r="B5" s="19">
        <v>45933</v>
      </c>
      <c r="C5" t="s">
        <v>59</v>
      </c>
      <c r="D5" t="s">
        <v>26</v>
      </c>
      <c r="E5" t="s">
        <v>60</v>
      </c>
      <c r="F5">
        <v>1004</v>
      </c>
      <c r="G5" t="s">
        <v>61</v>
      </c>
      <c r="H5" t="s">
        <v>29</v>
      </c>
      <c r="I5">
        <v>70</v>
      </c>
      <c r="J5" t="s">
        <v>62</v>
      </c>
      <c r="K5" t="s">
        <v>63</v>
      </c>
      <c r="L5" t="s">
        <v>64</v>
      </c>
      <c r="M5" t="s">
        <v>33</v>
      </c>
      <c r="N5" t="s">
        <v>64</v>
      </c>
      <c r="O5" t="s">
        <v>65</v>
      </c>
      <c r="P5" t="s">
        <v>47</v>
      </c>
      <c r="Q5">
        <v>8</v>
      </c>
      <c r="R5">
        <v>2</v>
      </c>
      <c r="S5">
        <v>2</v>
      </c>
      <c r="T5" t="s">
        <v>66</v>
      </c>
      <c r="U5">
        <v>2.1</v>
      </c>
      <c r="V5">
        <v>8</v>
      </c>
      <c r="W5">
        <v>12</v>
      </c>
      <c r="X5">
        <v>2025</v>
      </c>
      <c r="Y5" t="s">
        <v>67</v>
      </c>
    </row>
    <row r="6" spans="1:25">
      <c r="A6" s="19">
        <v>45872</v>
      </c>
      <c r="B6" s="19">
        <v>46238</v>
      </c>
      <c r="C6" t="s">
        <v>216</v>
      </c>
      <c r="D6" t="s">
        <v>26</v>
      </c>
      <c r="E6" t="s">
        <v>217</v>
      </c>
      <c r="F6">
        <v>1038</v>
      </c>
      <c r="G6" t="s">
        <v>161</v>
      </c>
      <c r="H6" t="s">
        <v>29</v>
      </c>
      <c r="I6">
        <v>45</v>
      </c>
      <c r="J6" t="s">
        <v>53</v>
      </c>
      <c r="K6" t="s">
        <v>213</v>
      </c>
      <c r="L6" t="s">
        <v>64</v>
      </c>
      <c r="M6" t="s">
        <v>44</v>
      </c>
      <c r="N6" t="s">
        <v>64</v>
      </c>
      <c r="O6" t="s">
        <v>109</v>
      </c>
      <c r="P6" t="s">
        <v>36</v>
      </c>
      <c r="Q6">
        <v>2</v>
      </c>
      <c r="R6">
        <v>0</v>
      </c>
      <c r="S6">
        <v>6</v>
      </c>
      <c r="T6" t="s">
        <v>48</v>
      </c>
      <c r="U6">
        <v>1.8</v>
      </c>
      <c r="V6">
        <v>3</v>
      </c>
      <c r="W6">
        <v>8</v>
      </c>
      <c r="X6">
        <v>2025</v>
      </c>
      <c r="Y6" t="s">
        <v>103</v>
      </c>
    </row>
    <row r="7" spans="1:25">
      <c r="A7" s="19">
        <v>45780</v>
      </c>
      <c r="B7" s="19">
        <v>45965</v>
      </c>
      <c r="C7" t="s">
        <v>189</v>
      </c>
      <c r="D7" t="s">
        <v>26</v>
      </c>
      <c r="E7" t="s">
        <v>190</v>
      </c>
      <c r="F7">
        <v>1029</v>
      </c>
      <c r="G7" t="s">
        <v>191</v>
      </c>
      <c r="H7" t="s">
        <v>41</v>
      </c>
      <c r="I7">
        <v>50</v>
      </c>
      <c r="J7" t="s">
        <v>53</v>
      </c>
      <c r="K7" t="s">
        <v>188</v>
      </c>
      <c r="L7" t="s">
        <v>64</v>
      </c>
      <c r="M7" t="s">
        <v>33</v>
      </c>
      <c r="N7" t="s">
        <v>64</v>
      </c>
      <c r="O7" t="s">
        <v>57</v>
      </c>
      <c r="P7" t="s">
        <v>36</v>
      </c>
      <c r="Q7">
        <v>3</v>
      </c>
      <c r="R7">
        <v>0</v>
      </c>
      <c r="S7">
        <v>6</v>
      </c>
      <c r="T7" t="s">
        <v>37</v>
      </c>
      <c r="U7">
        <v>1.7</v>
      </c>
      <c r="V7">
        <v>3</v>
      </c>
      <c r="W7">
        <v>9</v>
      </c>
      <c r="X7">
        <v>2025</v>
      </c>
      <c r="Y7" t="s">
        <v>74</v>
      </c>
    </row>
    <row r="8" spans="1:25">
      <c r="A8" s="19">
        <v>46206</v>
      </c>
      <c r="B8" s="19">
        <v>45661</v>
      </c>
      <c r="C8" t="s">
        <v>156</v>
      </c>
      <c r="D8" t="s">
        <v>26</v>
      </c>
      <c r="E8" t="s">
        <v>157</v>
      </c>
      <c r="F8">
        <v>1019</v>
      </c>
      <c r="G8" t="s">
        <v>158</v>
      </c>
      <c r="H8" t="s">
        <v>29</v>
      </c>
      <c r="I8">
        <v>53</v>
      </c>
      <c r="J8" t="s">
        <v>53</v>
      </c>
      <c r="K8" t="s">
        <v>120</v>
      </c>
      <c r="L8" t="s">
        <v>64</v>
      </c>
      <c r="M8" t="s">
        <v>33</v>
      </c>
      <c r="N8" t="s">
        <v>64</v>
      </c>
      <c r="O8" t="s">
        <v>94</v>
      </c>
      <c r="P8" t="s">
        <v>36</v>
      </c>
      <c r="Q8">
        <v>2</v>
      </c>
      <c r="R8">
        <v>0</v>
      </c>
      <c r="S8">
        <v>16</v>
      </c>
      <c r="T8" t="s">
        <v>37</v>
      </c>
      <c r="U8">
        <v>1.9</v>
      </c>
      <c r="V8">
        <v>2</v>
      </c>
      <c r="W8">
        <v>18</v>
      </c>
      <c r="X8">
        <v>2026</v>
      </c>
      <c r="Y8" t="s">
        <v>95</v>
      </c>
    </row>
    <row r="9" spans="1:25">
      <c r="A9" s="19">
        <v>45750</v>
      </c>
      <c r="B9" s="19">
        <v>45933</v>
      </c>
      <c r="C9" t="s">
        <v>59</v>
      </c>
      <c r="D9" t="s">
        <v>26</v>
      </c>
      <c r="E9" t="s">
        <v>60</v>
      </c>
      <c r="F9">
        <v>1004</v>
      </c>
      <c r="G9" t="s">
        <v>61</v>
      </c>
      <c r="H9" t="s">
        <v>29</v>
      </c>
      <c r="I9">
        <v>70</v>
      </c>
      <c r="J9" t="s">
        <v>62</v>
      </c>
      <c r="K9" t="s">
        <v>120</v>
      </c>
      <c r="L9" t="s">
        <v>64</v>
      </c>
      <c r="M9" t="s">
        <v>33</v>
      </c>
      <c r="N9" t="s">
        <v>64</v>
      </c>
      <c r="O9" t="s">
        <v>65</v>
      </c>
      <c r="P9" t="s">
        <v>47</v>
      </c>
      <c r="Q9">
        <v>8</v>
      </c>
      <c r="R9">
        <v>2</v>
      </c>
      <c r="S9">
        <v>11</v>
      </c>
      <c r="T9" t="s">
        <v>66</v>
      </c>
      <c r="U9">
        <v>2.1</v>
      </c>
      <c r="V9">
        <v>8</v>
      </c>
      <c r="W9">
        <v>21</v>
      </c>
      <c r="X9">
        <v>2025</v>
      </c>
      <c r="Y9" t="s">
        <v>67</v>
      </c>
    </row>
    <row r="10" spans="1:25">
      <c r="A10" s="19">
        <v>45750</v>
      </c>
      <c r="B10" s="19">
        <v>45933</v>
      </c>
      <c r="C10" t="s">
        <v>59</v>
      </c>
      <c r="D10" t="s">
        <v>26</v>
      </c>
      <c r="E10" t="s">
        <v>60</v>
      </c>
      <c r="F10">
        <v>1004</v>
      </c>
      <c r="G10" t="s">
        <v>61</v>
      </c>
      <c r="H10" t="s">
        <v>29</v>
      </c>
      <c r="I10">
        <v>70</v>
      </c>
      <c r="J10" t="s">
        <v>62</v>
      </c>
      <c r="K10" t="s">
        <v>77</v>
      </c>
      <c r="L10" t="s">
        <v>64</v>
      </c>
      <c r="M10" t="s">
        <v>33</v>
      </c>
      <c r="N10" t="s">
        <v>64</v>
      </c>
      <c r="O10" t="s">
        <v>65</v>
      </c>
      <c r="P10" t="s">
        <v>47</v>
      </c>
      <c r="Q10">
        <v>8</v>
      </c>
      <c r="R10">
        <v>2</v>
      </c>
      <c r="S10">
        <v>6</v>
      </c>
      <c r="T10" t="s">
        <v>66</v>
      </c>
      <c r="U10">
        <v>2.1</v>
      </c>
      <c r="V10">
        <v>8</v>
      </c>
      <c r="W10">
        <v>16</v>
      </c>
      <c r="X10">
        <v>2025</v>
      </c>
      <c r="Y10" t="s">
        <v>67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7"/>
  <sheetViews>
    <sheetView zoomScale="110" zoomScaleNormal="110" workbookViewId="0">
      <selection sqref="A1:Y87"/>
    </sheetView>
  </sheetViews>
  <sheetFormatPr defaultRowHeight="14.25"/>
  <cols>
    <col min="1" max="2" width="16.375" customWidth="1"/>
    <col min="3" max="3" width="15.5" customWidth="1"/>
    <col min="4" max="4" width="17.5" customWidth="1"/>
    <col min="5" max="5" width="15.125" customWidth="1"/>
    <col min="6" max="6" width="11.375" customWidth="1"/>
    <col min="7" max="7" width="14.5" customWidth="1"/>
    <col min="8" max="8" width="9.5" customWidth="1"/>
    <col min="10" max="10" width="12.25" customWidth="1"/>
    <col min="12" max="12" width="10" customWidth="1"/>
    <col min="13" max="13" width="13.125" customWidth="1"/>
    <col min="14" max="14" width="18.5" customWidth="1"/>
    <col min="15" max="15" width="12.125" customWidth="1"/>
    <col min="16" max="16" width="27.875" customWidth="1"/>
    <col min="17" max="17" width="15.875" customWidth="1"/>
    <col min="18" max="18" width="11.875" customWidth="1"/>
    <col min="19" max="19" width="18.375" customWidth="1"/>
    <col min="20" max="20" width="16.625" customWidth="1"/>
    <col min="21" max="21" width="32.875" customWidth="1"/>
    <col min="22" max="22" width="22.625" customWidth="1"/>
    <col min="23" max="23" width="15"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s="19">
        <v>45660</v>
      </c>
      <c r="B2" s="19">
        <v>45780</v>
      </c>
      <c r="C2" t="s">
        <v>25</v>
      </c>
      <c r="D2" t="s">
        <v>26</v>
      </c>
      <c r="E2" t="s">
        <v>27</v>
      </c>
      <c r="F2">
        <v>1001</v>
      </c>
      <c r="G2" t="s">
        <v>28</v>
      </c>
      <c r="H2" t="s">
        <v>29</v>
      </c>
      <c r="I2">
        <v>45</v>
      </c>
      <c r="J2" t="s">
        <v>30</v>
      </c>
      <c r="K2" t="s">
        <v>31</v>
      </c>
      <c r="L2" t="s">
        <v>32</v>
      </c>
      <c r="M2" t="s">
        <v>33</v>
      </c>
      <c r="N2" t="s">
        <v>34</v>
      </c>
      <c r="O2" t="s">
        <v>35</v>
      </c>
      <c r="P2" t="s">
        <v>36</v>
      </c>
      <c r="Q2">
        <v>13</v>
      </c>
      <c r="R2">
        <v>7</v>
      </c>
      <c r="S2">
        <v>7</v>
      </c>
      <c r="T2" t="s">
        <v>37</v>
      </c>
      <c r="U2">
        <v>2.5</v>
      </c>
      <c r="V2">
        <v>7</v>
      </c>
      <c r="W2">
        <v>27</v>
      </c>
      <c r="X2">
        <v>2025</v>
      </c>
      <c r="Y2" t="s">
        <v>38</v>
      </c>
    </row>
    <row r="3" spans="1:25">
      <c r="A3" s="19">
        <v>46145</v>
      </c>
      <c r="B3" s="19">
        <v>46058</v>
      </c>
      <c r="C3" t="s">
        <v>111</v>
      </c>
      <c r="D3" t="s">
        <v>26</v>
      </c>
      <c r="E3" t="s">
        <v>164</v>
      </c>
      <c r="F3">
        <v>1050</v>
      </c>
      <c r="G3" t="s">
        <v>243</v>
      </c>
      <c r="H3" t="s">
        <v>29</v>
      </c>
      <c r="I3">
        <v>60</v>
      </c>
      <c r="J3" t="s">
        <v>62</v>
      </c>
      <c r="K3" t="s">
        <v>137</v>
      </c>
      <c r="L3" t="s">
        <v>84</v>
      </c>
      <c r="M3" t="s">
        <v>44</v>
      </c>
      <c r="N3" t="s">
        <v>85</v>
      </c>
      <c r="O3" t="s">
        <v>57</v>
      </c>
      <c r="P3" t="s">
        <v>36</v>
      </c>
      <c r="Q3">
        <v>2</v>
      </c>
      <c r="R3">
        <v>0</v>
      </c>
      <c r="S3">
        <v>2</v>
      </c>
      <c r="T3" t="s">
        <v>48</v>
      </c>
      <c r="U3">
        <v>2.4</v>
      </c>
      <c r="V3">
        <v>2</v>
      </c>
      <c r="W3">
        <v>4</v>
      </c>
      <c r="X3">
        <v>2026</v>
      </c>
      <c r="Y3" t="s">
        <v>74</v>
      </c>
    </row>
    <row r="4" spans="1:25">
      <c r="A4" s="19">
        <v>46237</v>
      </c>
      <c r="B4" s="19">
        <v>46177</v>
      </c>
      <c r="C4" t="s">
        <v>240</v>
      </c>
      <c r="D4" t="s">
        <v>26</v>
      </c>
      <c r="E4" t="s">
        <v>129</v>
      </c>
      <c r="F4">
        <v>1048</v>
      </c>
      <c r="G4" t="s">
        <v>241</v>
      </c>
      <c r="H4" t="s">
        <v>29</v>
      </c>
      <c r="I4">
        <v>53</v>
      </c>
      <c r="J4" t="s">
        <v>53</v>
      </c>
      <c r="K4" t="s">
        <v>83</v>
      </c>
      <c r="L4" t="s">
        <v>43</v>
      </c>
      <c r="M4" t="s">
        <v>44</v>
      </c>
      <c r="N4" t="s">
        <v>72</v>
      </c>
      <c r="O4" t="s">
        <v>86</v>
      </c>
      <c r="P4" t="s">
        <v>36</v>
      </c>
      <c r="Q4">
        <v>3</v>
      </c>
      <c r="R4">
        <v>0</v>
      </c>
      <c r="S4">
        <v>0</v>
      </c>
      <c r="T4" t="s">
        <v>48</v>
      </c>
      <c r="U4">
        <v>1.9</v>
      </c>
      <c r="V4">
        <v>2</v>
      </c>
      <c r="W4">
        <v>3</v>
      </c>
      <c r="X4">
        <v>2026</v>
      </c>
      <c r="Y4" t="s">
        <v>103</v>
      </c>
    </row>
    <row r="5" spans="1:25">
      <c r="A5" s="19">
        <v>45750</v>
      </c>
      <c r="B5" s="19">
        <v>45933</v>
      </c>
      <c r="C5" t="s">
        <v>59</v>
      </c>
      <c r="D5" t="s">
        <v>26</v>
      </c>
      <c r="E5" t="s">
        <v>60</v>
      </c>
      <c r="F5">
        <v>1004</v>
      </c>
      <c r="G5" t="s">
        <v>61</v>
      </c>
      <c r="H5" t="s">
        <v>29</v>
      </c>
      <c r="I5">
        <v>70</v>
      </c>
      <c r="J5" t="s">
        <v>62</v>
      </c>
      <c r="K5" t="s">
        <v>63</v>
      </c>
      <c r="L5" t="s">
        <v>64</v>
      </c>
      <c r="M5" t="s">
        <v>33</v>
      </c>
      <c r="N5" t="s">
        <v>64</v>
      </c>
      <c r="O5" t="s">
        <v>65</v>
      </c>
      <c r="P5" t="s">
        <v>47</v>
      </c>
      <c r="Q5">
        <v>8</v>
      </c>
      <c r="R5">
        <v>2</v>
      </c>
      <c r="S5">
        <v>2</v>
      </c>
      <c r="T5" t="s">
        <v>66</v>
      </c>
      <c r="U5">
        <v>2.1</v>
      </c>
      <c r="V5">
        <v>8</v>
      </c>
      <c r="W5">
        <v>12</v>
      </c>
      <c r="X5">
        <v>2025</v>
      </c>
      <c r="Y5" t="s">
        <v>67</v>
      </c>
    </row>
    <row r="6" spans="1:25">
      <c r="A6" s="19">
        <v>45780</v>
      </c>
      <c r="B6" s="19">
        <v>45964</v>
      </c>
      <c r="C6" t="s">
        <v>68</v>
      </c>
      <c r="D6" t="s">
        <v>26</v>
      </c>
      <c r="E6" t="s">
        <v>27</v>
      </c>
      <c r="F6">
        <v>1005</v>
      </c>
      <c r="G6" t="s">
        <v>69</v>
      </c>
      <c r="H6" t="s">
        <v>29</v>
      </c>
      <c r="I6">
        <v>38</v>
      </c>
      <c r="J6" t="s">
        <v>30</v>
      </c>
      <c r="K6" t="s">
        <v>70</v>
      </c>
      <c r="L6" t="s">
        <v>71</v>
      </c>
      <c r="M6" t="s">
        <v>44</v>
      </c>
      <c r="N6" t="s">
        <v>72</v>
      </c>
      <c r="O6" t="s">
        <v>73</v>
      </c>
      <c r="P6" t="s">
        <v>36</v>
      </c>
      <c r="Q6">
        <v>9</v>
      </c>
      <c r="R6">
        <v>1</v>
      </c>
      <c r="S6">
        <v>6</v>
      </c>
      <c r="T6" t="s">
        <v>37</v>
      </c>
      <c r="U6">
        <v>2.9</v>
      </c>
      <c r="V6">
        <v>4</v>
      </c>
      <c r="W6">
        <v>16</v>
      </c>
      <c r="X6">
        <v>2025</v>
      </c>
      <c r="Y6" t="s">
        <v>74</v>
      </c>
    </row>
    <row r="7" spans="1:25">
      <c r="A7" s="19">
        <v>45660</v>
      </c>
      <c r="B7" s="19">
        <v>45780</v>
      </c>
      <c r="C7" t="s">
        <v>25</v>
      </c>
      <c r="D7" t="s">
        <v>26</v>
      </c>
      <c r="E7" t="s">
        <v>27</v>
      </c>
      <c r="F7">
        <v>1001</v>
      </c>
      <c r="G7" t="s">
        <v>28</v>
      </c>
      <c r="H7" t="s">
        <v>29</v>
      </c>
      <c r="I7">
        <v>45</v>
      </c>
      <c r="J7" t="s">
        <v>30</v>
      </c>
      <c r="K7" t="s">
        <v>75</v>
      </c>
      <c r="L7" t="s">
        <v>32</v>
      </c>
      <c r="M7" t="s">
        <v>33</v>
      </c>
      <c r="N7" t="s">
        <v>34</v>
      </c>
      <c r="O7" t="s">
        <v>35</v>
      </c>
      <c r="P7" t="s">
        <v>36</v>
      </c>
      <c r="Q7">
        <v>13</v>
      </c>
      <c r="R7">
        <v>7</v>
      </c>
      <c r="S7">
        <v>2</v>
      </c>
      <c r="T7" t="s">
        <v>37</v>
      </c>
      <c r="U7">
        <v>2.5</v>
      </c>
      <c r="V7">
        <v>7</v>
      </c>
      <c r="W7">
        <v>22</v>
      </c>
      <c r="X7">
        <v>2025</v>
      </c>
      <c r="Y7" t="s">
        <v>38</v>
      </c>
    </row>
    <row r="8" spans="1:25">
      <c r="A8" s="19">
        <v>46176</v>
      </c>
      <c r="B8" s="19">
        <v>46116</v>
      </c>
      <c r="C8" t="s">
        <v>150</v>
      </c>
      <c r="D8" t="s">
        <v>26</v>
      </c>
      <c r="E8" t="s">
        <v>147</v>
      </c>
      <c r="F8">
        <v>1046</v>
      </c>
      <c r="G8" t="s">
        <v>236</v>
      </c>
      <c r="H8" t="s">
        <v>29</v>
      </c>
      <c r="I8">
        <v>39</v>
      </c>
      <c r="J8" t="s">
        <v>30</v>
      </c>
      <c r="K8" t="s">
        <v>229</v>
      </c>
      <c r="L8" t="s">
        <v>93</v>
      </c>
      <c r="M8" t="s">
        <v>44</v>
      </c>
      <c r="N8" t="s">
        <v>45</v>
      </c>
      <c r="O8" t="s">
        <v>46</v>
      </c>
      <c r="P8" t="s">
        <v>36</v>
      </c>
      <c r="Q8">
        <v>2</v>
      </c>
      <c r="R8">
        <v>0</v>
      </c>
      <c r="S8">
        <v>2</v>
      </c>
      <c r="T8" t="s">
        <v>37</v>
      </c>
      <c r="U8">
        <v>1.5</v>
      </c>
      <c r="V8">
        <v>2</v>
      </c>
      <c r="W8">
        <v>4</v>
      </c>
      <c r="X8">
        <v>2026</v>
      </c>
      <c r="Y8" t="s">
        <v>87</v>
      </c>
    </row>
    <row r="9" spans="1:25">
      <c r="A9" s="19">
        <v>46115</v>
      </c>
      <c r="B9" s="19">
        <v>46057</v>
      </c>
      <c r="C9" t="s">
        <v>230</v>
      </c>
      <c r="D9" t="s">
        <v>26</v>
      </c>
      <c r="E9" t="s">
        <v>202</v>
      </c>
      <c r="F9">
        <v>1044</v>
      </c>
      <c r="G9" t="s">
        <v>231</v>
      </c>
      <c r="H9" t="s">
        <v>29</v>
      </c>
      <c r="I9">
        <v>34</v>
      </c>
      <c r="J9" t="s">
        <v>30</v>
      </c>
      <c r="K9" t="s">
        <v>299</v>
      </c>
      <c r="L9" t="s">
        <v>55</v>
      </c>
      <c r="M9" t="s">
        <v>44</v>
      </c>
      <c r="N9" t="s">
        <v>56</v>
      </c>
      <c r="O9" t="s">
        <v>35</v>
      </c>
      <c r="P9" t="s">
        <v>36</v>
      </c>
      <c r="Q9">
        <v>4</v>
      </c>
      <c r="R9">
        <v>0</v>
      </c>
      <c r="S9">
        <v>0</v>
      </c>
      <c r="T9" t="s">
        <v>48</v>
      </c>
      <c r="U9">
        <v>1.4</v>
      </c>
      <c r="V9">
        <v>2</v>
      </c>
      <c r="W9">
        <v>4</v>
      </c>
      <c r="X9">
        <v>2026</v>
      </c>
      <c r="Y9" t="s">
        <v>67</v>
      </c>
    </row>
    <row r="10" spans="1:25">
      <c r="A10" s="19">
        <v>45750</v>
      </c>
      <c r="B10" s="19">
        <v>45933</v>
      </c>
      <c r="C10" t="s">
        <v>59</v>
      </c>
      <c r="D10" t="s">
        <v>26</v>
      </c>
      <c r="E10" t="s">
        <v>60</v>
      </c>
      <c r="F10">
        <v>1004</v>
      </c>
      <c r="G10" t="s">
        <v>61</v>
      </c>
      <c r="H10" t="s">
        <v>29</v>
      </c>
      <c r="I10">
        <v>70</v>
      </c>
      <c r="J10" t="s">
        <v>62</v>
      </c>
      <c r="K10" t="s">
        <v>77</v>
      </c>
      <c r="L10" t="s">
        <v>64</v>
      </c>
      <c r="M10" t="s">
        <v>33</v>
      </c>
      <c r="N10" t="s">
        <v>64</v>
      </c>
      <c r="O10" t="s">
        <v>65</v>
      </c>
      <c r="P10" t="s">
        <v>47</v>
      </c>
      <c r="Q10">
        <v>8</v>
      </c>
      <c r="R10">
        <v>2</v>
      </c>
      <c r="S10">
        <v>6</v>
      </c>
      <c r="T10" t="s">
        <v>66</v>
      </c>
      <c r="U10">
        <v>2.1</v>
      </c>
      <c r="V10">
        <v>8</v>
      </c>
      <c r="W10">
        <v>16</v>
      </c>
      <c r="X10">
        <v>2025</v>
      </c>
      <c r="Y10" t="s">
        <v>67</v>
      </c>
    </row>
    <row r="11" spans="1:25">
      <c r="A11" s="19">
        <v>46084</v>
      </c>
      <c r="B11" s="19">
        <v>46026</v>
      </c>
      <c r="C11" t="s">
        <v>226</v>
      </c>
      <c r="D11" t="s">
        <v>26</v>
      </c>
      <c r="E11" t="s">
        <v>227</v>
      </c>
      <c r="F11">
        <v>1043</v>
      </c>
      <c r="G11" t="s">
        <v>228</v>
      </c>
      <c r="H11" t="s">
        <v>29</v>
      </c>
      <c r="I11">
        <v>48</v>
      </c>
      <c r="J11" t="s">
        <v>53</v>
      </c>
      <c r="K11" t="s">
        <v>286</v>
      </c>
      <c r="L11" t="s">
        <v>43</v>
      </c>
      <c r="M11" t="s">
        <v>33</v>
      </c>
      <c r="N11" t="s">
        <v>72</v>
      </c>
      <c r="O11" t="s">
        <v>86</v>
      </c>
      <c r="P11" t="s">
        <v>36</v>
      </c>
      <c r="Q11">
        <v>3</v>
      </c>
      <c r="R11">
        <v>0</v>
      </c>
      <c r="S11">
        <v>1</v>
      </c>
      <c r="T11" t="s">
        <v>37</v>
      </c>
      <c r="U11">
        <v>1.8</v>
      </c>
      <c r="V11">
        <v>2</v>
      </c>
      <c r="W11">
        <v>4</v>
      </c>
      <c r="X11">
        <v>2026</v>
      </c>
      <c r="Y11" t="s">
        <v>58</v>
      </c>
    </row>
    <row r="12" spans="1:25">
      <c r="A12" s="19">
        <v>45811</v>
      </c>
      <c r="B12" s="19">
        <v>45994</v>
      </c>
      <c r="C12" t="s">
        <v>79</v>
      </c>
      <c r="D12" t="s">
        <v>26</v>
      </c>
      <c r="E12" t="s">
        <v>80</v>
      </c>
      <c r="F12">
        <v>1006</v>
      </c>
      <c r="G12" t="s">
        <v>81</v>
      </c>
      <c r="H12" t="s">
        <v>29</v>
      </c>
      <c r="I12">
        <v>25</v>
      </c>
      <c r="J12" t="s">
        <v>82</v>
      </c>
      <c r="K12" t="s">
        <v>83</v>
      </c>
      <c r="L12" t="s">
        <v>84</v>
      </c>
      <c r="M12" t="s">
        <v>33</v>
      </c>
      <c r="N12" t="s">
        <v>85</v>
      </c>
      <c r="O12" t="s">
        <v>86</v>
      </c>
      <c r="P12" t="s">
        <v>36</v>
      </c>
      <c r="Q12">
        <v>5</v>
      </c>
      <c r="R12">
        <v>0</v>
      </c>
      <c r="S12">
        <v>0</v>
      </c>
      <c r="T12" t="s">
        <v>37</v>
      </c>
      <c r="U12">
        <v>1.5</v>
      </c>
      <c r="V12">
        <v>3</v>
      </c>
      <c r="W12">
        <v>5</v>
      </c>
      <c r="X12">
        <v>2025</v>
      </c>
      <c r="Y12" t="s">
        <v>87</v>
      </c>
    </row>
    <row r="13" spans="1:25">
      <c r="A13" s="19">
        <v>45841</v>
      </c>
      <c r="B13" s="19">
        <v>46084</v>
      </c>
      <c r="C13" t="s">
        <v>88</v>
      </c>
      <c r="D13" t="s">
        <v>26</v>
      </c>
      <c r="E13" t="s">
        <v>89</v>
      </c>
      <c r="F13">
        <v>1007</v>
      </c>
      <c r="G13" t="s">
        <v>90</v>
      </c>
      <c r="H13" t="s">
        <v>29</v>
      </c>
      <c r="I13">
        <v>18</v>
      </c>
      <c r="J13" t="s">
        <v>91</v>
      </c>
      <c r="K13" t="s">
        <v>92</v>
      </c>
      <c r="L13" t="s">
        <v>93</v>
      </c>
      <c r="M13" t="s">
        <v>44</v>
      </c>
      <c r="N13" t="s">
        <v>45</v>
      </c>
      <c r="O13" t="s">
        <v>94</v>
      </c>
      <c r="P13" t="s">
        <v>36</v>
      </c>
      <c r="Q13">
        <v>2</v>
      </c>
      <c r="R13">
        <v>0</v>
      </c>
      <c r="S13">
        <v>1</v>
      </c>
      <c r="T13" t="s">
        <v>48</v>
      </c>
      <c r="U13">
        <v>1</v>
      </c>
      <c r="V13">
        <v>1</v>
      </c>
      <c r="W13">
        <v>3</v>
      </c>
      <c r="X13">
        <v>2025</v>
      </c>
      <c r="Y13" t="s">
        <v>95</v>
      </c>
    </row>
    <row r="14" spans="1:25">
      <c r="A14" s="19">
        <v>45872</v>
      </c>
      <c r="B14" s="19">
        <v>46237</v>
      </c>
      <c r="C14" t="s">
        <v>96</v>
      </c>
      <c r="D14" t="s">
        <v>26</v>
      </c>
      <c r="E14" t="s">
        <v>97</v>
      </c>
      <c r="F14">
        <v>1008</v>
      </c>
      <c r="G14" t="s">
        <v>98</v>
      </c>
      <c r="H14" t="s">
        <v>29</v>
      </c>
      <c r="I14">
        <v>12</v>
      </c>
      <c r="J14" t="s">
        <v>99</v>
      </c>
      <c r="K14" t="s">
        <v>100</v>
      </c>
      <c r="L14" t="s">
        <v>93</v>
      </c>
      <c r="M14" t="s">
        <v>33</v>
      </c>
      <c r="N14" t="s">
        <v>101</v>
      </c>
      <c r="O14" t="s">
        <v>102</v>
      </c>
      <c r="P14" t="s">
        <v>47</v>
      </c>
      <c r="Q14">
        <v>1</v>
      </c>
      <c r="R14">
        <v>0</v>
      </c>
      <c r="S14">
        <v>2</v>
      </c>
      <c r="T14" t="s">
        <v>37</v>
      </c>
      <c r="U14">
        <v>2.2000000000000002</v>
      </c>
      <c r="V14">
        <v>2</v>
      </c>
      <c r="W14">
        <v>3</v>
      </c>
      <c r="X14">
        <v>2025</v>
      </c>
      <c r="Y14" t="s">
        <v>103</v>
      </c>
    </row>
    <row r="15" spans="1:25">
      <c r="A15" s="19">
        <v>46056</v>
      </c>
      <c r="B15" s="19">
        <v>45995</v>
      </c>
      <c r="C15" t="s">
        <v>223</v>
      </c>
      <c r="D15" t="s">
        <v>26</v>
      </c>
      <c r="E15" t="s">
        <v>139</v>
      </c>
      <c r="F15">
        <v>1042</v>
      </c>
      <c r="G15" t="s">
        <v>224</v>
      </c>
      <c r="H15" t="s">
        <v>29</v>
      </c>
      <c r="I15">
        <v>36</v>
      </c>
      <c r="J15" t="s">
        <v>30</v>
      </c>
      <c r="K15" t="s">
        <v>232</v>
      </c>
      <c r="L15" t="s">
        <v>84</v>
      </c>
      <c r="M15" t="s">
        <v>44</v>
      </c>
      <c r="N15" t="s">
        <v>85</v>
      </c>
      <c r="O15" t="s">
        <v>109</v>
      </c>
      <c r="P15" t="s">
        <v>36</v>
      </c>
      <c r="Q15">
        <v>2</v>
      </c>
      <c r="R15">
        <v>0</v>
      </c>
      <c r="S15">
        <v>4</v>
      </c>
      <c r="T15" t="s">
        <v>37</v>
      </c>
      <c r="U15">
        <v>1.6</v>
      </c>
      <c r="V15">
        <v>2</v>
      </c>
      <c r="W15">
        <v>6</v>
      </c>
      <c r="X15">
        <v>2026</v>
      </c>
      <c r="Y15" t="s">
        <v>49</v>
      </c>
    </row>
    <row r="16" spans="1:25">
      <c r="A16" s="19">
        <v>45933</v>
      </c>
      <c r="B16" s="19">
        <v>46298</v>
      </c>
      <c r="C16" t="s">
        <v>111</v>
      </c>
      <c r="D16" t="s">
        <v>26</v>
      </c>
      <c r="E16" t="s">
        <v>112</v>
      </c>
      <c r="F16">
        <v>1010</v>
      </c>
      <c r="G16" t="s">
        <v>113</v>
      </c>
      <c r="H16" t="s">
        <v>29</v>
      </c>
      <c r="I16">
        <v>15</v>
      </c>
      <c r="J16" t="s">
        <v>99</v>
      </c>
      <c r="K16" t="s">
        <v>114</v>
      </c>
      <c r="L16" t="s">
        <v>43</v>
      </c>
      <c r="M16" t="s">
        <v>33</v>
      </c>
      <c r="N16" t="s">
        <v>45</v>
      </c>
      <c r="O16" t="s">
        <v>115</v>
      </c>
      <c r="P16" t="s">
        <v>36</v>
      </c>
      <c r="Q16">
        <v>3</v>
      </c>
      <c r="R16">
        <v>0</v>
      </c>
      <c r="S16">
        <v>0</v>
      </c>
      <c r="T16" t="s">
        <v>37</v>
      </c>
      <c r="U16">
        <v>2.5</v>
      </c>
      <c r="V16">
        <v>3</v>
      </c>
      <c r="W16">
        <v>3</v>
      </c>
      <c r="X16">
        <v>2025</v>
      </c>
      <c r="Y16" t="s">
        <v>116</v>
      </c>
    </row>
    <row r="17" spans="1:25">
      <c r="A17" s="19">
        <v>45660</v>
      </c>
      <c r="B17" s="19">
        <v>45780</v>
      </c>
      <c r="C17" t="s">
        <v>25</v>
      </c>
      <c r="D17" t="s">
        <v>26</v>
      </c>
      <c r="E17" t="s">
        <v>27</v>
      </c>
      <c r="F17">
        <v>1001</v>
      </c>
      <c r="G17" t="s">
        <v>28</v>
      </c>
      <c r="H17" t="s">
        <v>29</v>
      </c>
      <c r="I17">
        <v>45</v>
      </c>
      <c r="J17" t="s">
        <v>30</v>
      </c>
      <c r="K17" t="s">
        <v>117</v>
      </c>
      <c r="L17" t="s">
        <v>32</v>
      </c>
      <c r="M17" t="s">
        <v>33</v>
      </c>
      <c r="N17" t="s">
        <v>34</v>
      </c>
      <c r="O17" t="s">
        <v>35</v>
      </c>
      <c r="P17" t="s">
        <v>36</v>
      </c>
      <c r="Q17">
        <v>13</v>
      </c>
      <c r="R17">
        <v>7</v>
      </c>
      <c r="S17">
        <v>3</v>
      </c>
      <c r="T17" t="s">
        <v>37</v>
      </c>
      <c r="U17">
        <v>2.5</v>
      </c>
      <c r="V17">
        <v>7</v>
      </c>
      <c r="W17">
        <v>23</v>
      </c>
      <c r="X17">
        <v>2025</v>
      </c>
      <c r="Y17" t="s">
        <v>38</v>
      </c>
    </row>
    <row r="18" spans="1:25">
      <c r="A18" s="19">
        <v>46056</v>
      </c>
      <c r="B18" s="19">
        <v>45934</v>
      </c>
      <c r="C18" t="s">
        <v>219</v>
      </c>
      <c r="D18" t="s">
        <v>26</v>
      </c>
      <c r="E18" t="s">
        <v>186</v>
      </c>
      <c r="F18">
        <v>1040</v>
      </c>
      <c r="G18" t="s">
        <v>180</v>
      </c>
      <c r="H18" t="s">
        <v>29</v>
      </c>
      <c r="I18">
        <v>42</v>
      </c>
      <c r="J18" t="s">
        <v>30</v>
      </c>
      <c r="K18" t="s">
        <v>131</v>
      </c>
      <c r="L18" t="s">
        <v>55</v>
      </c>
      <c r="M18" t="s">
        <v>44</v>
      </c>
      <c r="N18" t="s">
        <v>34</v>
      </c>
      <c r="O18" t="s">
        <v>35</v>
      </c>
      <c r="P18" t="s">
        <v>36</v>
      </c>
      <c r="Q18">
        <v>3</v>
      </c>
      <c r="R18">
        <v>0</v>
      </c>
      <c r="S18">
        <v>1</v>
      </c>
      <c r="T18" t="s">
        <v>48</v>
      </c>
      <c r="U18">
        <v>2.1</v>
      </c>
      <c r="V18">
        <v>2</v>
      </c>
      <c r="W18">
        <v>4</v>
      </c>
      <c r="X18">
        <v>2026</v>
      </c>
      <c r="Y18" t="s">
        <v>49</v>
      </c>
    </row>
    <row r="19" spans="1:25">
      <c r="A19" s="19">
        <v>45719</v>
      </c>
      <c r="B19" s="19">
        <v>45811</v>
      </c>
      <c r="C19" t="s">
        <v>50</v>
      </c>
      <c r="D19" t="s">
        <v>26</v>
      </c>
      <c r="E19" t="s">
        <v>51</v>
      </c>
      <c r="F19">
        <v>1003</v>
      </c>
      <c r="G19" t="s">
        <v>52</v>
      </c>
      <c r="H19" t="s">
        <v>29</v>
      </c>
      <c r="I19">
        <v>60</v>
      </c>
      <c r="J19" t="s">
        <v>53</v>
      </c>
      <c r="K19" t="s">
        <v>119</v>
      </c>
      <c r="L19" t="s">
        <v>55</v>
      </c>
      <c r="M19" t="s">
        <v>33</v>
      </c>
      <c r="N19" t="s">
        <v>56</v>
      </c>
      <c r="O19" t="s">
        <v>57</v>
      </c>
      <c r="P19" t="s">
        <v>36</v>
      </c>
      <c r="Q19">
        <v>10</v>
      </c>
      <c r="R19">
        <v>3</v>
      </c>
      <c r="S19">
        <v>4</v>
      </c>
      <c r="T19" t="s">
        <v>37</v>
      </c>
      <c r="U19">
        <v>1.8</v>
      </c>
      <c r="V19">
        <v>6</v>
      </c>
      <c r="W19">
        <v>17</v>
      </c>
      <c r="X19">
        <v>2025</v>
      </c>
      <c r="Y19" t="s">
        <v>58</v>
      </c>
    </row>
    <row r="20" spans="1:25">
      <c r="A20" s="19">
        <v>45750</v>
      </c>
      <c r="B20" s="19">
        <v>45933</v>
      </c>
      <c r="C20" t="s">
        <v>59</v>
      </c>
      <c r="D20" t="s">
        <v>26</v>
      </c>
      <c r="E20" t="s">
        <v>60</v>
      </c>
      <c r="F20">
        <v>1004</v>
      </c>
      <c r="G20" t="s">
        <v>61</v>
      </c>
      <c r="H20" t="s">
        <v>29</v>
      </c>
      <c r="I20">
        <v>70</v>
      </c>
      <c r="J20" t="s">
        <v>62</v>
      </c>
      <c r="K20" t="s">
        <v>120</v>
      </c>
      <c r="L20" t="s">
        <v>64</v>
      </c>
      <c r="M20" t="s">
        <v>33</v>
      </c>
      <c r="N20" t="s">
        <v>64</v>
      </c>
      <c r="O20" t="s">
        <v>65</v>
      </c>
      <c r="P20" t="s">
        <v>47</v>
      </c>
      <c r="Q20">
        <v>8</v>
      </c>
      <c r="R20">
        <v>2</v>
      </c>
      <c r="S20">
        <v>11</v>
      </c>
      <c r="T20" t="s">
        <v>66</v>
      </c>
      <c r="U20">
        <v>2.1</v>
      </c>
      <c r="V20">
        <v>8</v>
      </c>
      <c r="W20">
        <v>21</v>
      </c>
      <c r="X20">
        <v>2025</v>
      </c>
      <c r="Y20" t="s">
        <v>67</v>
      </c>
    </row>
    <row r="21" spans="1:25">
      <c r="A21" s="19">
        <v>46237</v>
      </c>
      <c r="B21" s="19">
        <v>45873</v>
      </c>
      <c r="C21" t="s">
        <v>216</v>
      </c>
      <c r="D21" t="s">
        <v>26</v>
      </c>
      <c r="E21" t="s">
        <v>217</v>
      </c>
      <c r="F21">
        <v>1038</v>
      </c>
      <c r="G21" t="s">
        <v>161</v>
      </c>
      <c r="H21" t="s">
        <v>29</v>
      </c>
      <c r="I21">
        <v>45</v>
      </c>
      <c r="J21" t="s">
        <v>53</v>
      </c>
      <c r="K21" t="s">
        <v>278</v>
      </c>
      <c r="L21" t="s">
        <v>64</v>
      </c>
      <c r="M21" t="s">
        <v>44</v>
      </c>
      <c r="N21" t="s">
        <v>64</v>
      </c>
      <c r="O21" t="s">
        <v>109</v>
      </c>
      <c r="P21" t="s">
        <v>36</v>
      </c>
      <c r="Q21">
        <v>2</v>
      </c>
      <c r="R21">
        <v>0</v>
      </c>
      <c r="S21">
        <v>6</v>
      </c>
      <c r="T21" t="s">
        <v>48</v>
      </c>
      <c r="U21">
        <v>1.8</v>
      </c>
      <c r="V21">
        <v>3</v>
      </c>
      <c r="W21">
        <v>8</v>
      </c>
      <c r="X21">
        <v>2026</v>
      </c>
      <c r="Y21" t="s">
        <v>103</v>
      </c>
    </row>
    <row r="22" spans="1:25">
      <c r="A22" s="19">
        <v>45811</v>
      </c>
      <c r="B22" s="19">
        <v>45994</v>
      </c>
      <c r="C22" t="s">
        <v>79</v>
      </c>
      <c r="D22" t="s">
        <v>26</v>
      </c>
      <c r="E22" t="s">
        <v>80</v>
      </c>
      <c r="F22">
        <v>1006</v>
      </c>
      <c r="G22" t="s">
        <v>81</v>
      </c>
      <c r="H22" t="s">
        <v>29</v>
      </c>
      <c r="I22">
        <v>25</v>
      </c>
      <c r="J22" t="s">
        <v>82</v>
      </c>
      <c r="K22" t="s">
        <v>120</v>
      </c>
      <c r="L22" t="s">
        <v>84</v>
      </c>
      <c r="M22" t="s">
        <v>33</v>
      </c>
      <c r="N22" t="s">
        <v>85</v>
      </c>
      <c r="O22" t="s">
        <v>86</v>
      </c>
      <c r="P22" t="s">
        <v>36</v>
      </c>
      <c r="Q22">
        <v>5</v>
      </c>
      <c r="R22">
        <v>0</v>
      </c>
      <c r="S22">
        <v>11</v>
      </c>
      <c r="T22" t="s">
        <v>37</v>
      </c>
      <c r="U22">
        <v>1.5</v>
      </c>
      <c r="V22">
        <v>3</v>
      </c>
      <c r="W22">
        <v>16</v>
      </c>
      <c r="X22">
        <v>2025</v>
      </c>
      <c r="Y22" t="s">
        <v>87</v>
      </c>
    </row>
    <row r="23" spans="1:25">
      <c r="A23" s="19">
        <v>46206</v>
      </c>
      <c r="B23" s="19">
        <v>45842</v>
      </c>
      <c r="C23" t="s">
        <v>214</v>
      </c>
      <c r="D23" t="s">
        <v>26</v>
      </c>
      <c r="E23" t="s">
        <v>51</v>
      </c>
      <c r="F23">
        <v>1037</v>
      </c>
      <c r="G23" t="s">
        <v>215</v>
      </c>
      <c r="H23" t="s">
        <v>29</v>
      </c>
      <c r="I23">
        <v>39</v>
      </c>
      <c r="J23" t="s">
        <v>30</v>
      </c>
      <c r="K23" t="s">
        <v>267</v>
      </c>
      <c r="L23" t="s">
        <v>43</v>
      </c>
      <c r="M23" t="s">
        <v>33</v>
      </c>
      <c r="N23" t="s">
        <v>45</v>
      </c>
      <c r="O23" t="s">
        <v>46</v>
      </c>
      <c r="P23" t="s">
        <v>36</v>
      </c>
      <c r="Q23">
        <v>3</v>
      </c>
      <c r="R23">
        <v>0</v>
      </c>
      <c r="S23">
        <v>6</v>
      </c>
      <c r="T23" t="s">
        <v>37</v>
      </c>
      <c r="U23">
        <v>1.3</v>
      </c>
      <c r="V23">
        <v>1</v>
      </c>
      <c r="W23">
        <v>9</v>
      </c>
      <c r="X23">
        <v>2026</v>
      </c>
      <c r="Y23" t="s">
        <v>95</v>
      </c>
    </row>
    <row r="24" spans="1:25">
      <c r="A24" s="19">
        <v>45872</v>
      </c>
      <c r="B24" s="19">
        <v>46237</v>
      </c>
      <c r="C24" t="s">
        <v>96</v>
      </c>
      <c r="D24" t="s">
        <v>26</v>
      </c>
      <c r="E24" t="s">
        <v>97</v>
      </c>
      <c r="F24">
        <v>1008</v>
      </c>
      <c r="G24" t="s">
        <v>98</v>
      </c>
      <c r="H24" t="s">
        <v>29</v>
      </c>
      <c r="I24">
        <v>12</v>
      </c>
      <c r="J24" t="s">
        <v>99</v>
      </c>
      <c r="K24" t="s">
        <v>120</v>
      </c>
      <c r="L24" t="s">
        <v>93</v>
      </c>
      <c r="M24" t="s">
        <v>33</v>
      </c>
      <c r="N24" t="s">
        <v>101</v>
      </c>
      <c r="O24" t="s">
        <v>102</v>
      </c>
      <c r="P24" t="s">
        <v>47</v>
      </c>
      <c r="Q24">
        <v>1</v>
      </c>
      <c r="R24">
        <v>0</v>
      </c>
      <c r="S24">
        <v>15</v>
      </c>
      <c r="T24" t="s">
        <v>37</v>
      </c>
      <c r="U24">
        <v>2.2000000000000002</v>
      </c>
      <c r="V24">
        <v>2</v>
      </c>
      <c r="W24">
        <v>16</v>
      </c>
      <c r="X24">
        <v>2025</v>
      </c>
      <c r="Y24" t="s">
        <v>103</v>
      </c>
    </row>
    <row r="25" spans="1:25">
      <c r="A25" s="19">
        <v>45903</v>
      </c>
      <c r="B25" s="19">
        <v>46176</v>
      </c>
      <c r="C25" t="s">
        <v>104</v>
      </c>
      <c r="D25" t="s">
        <v>26</v>
      </c>
      <c r="E25" t="s">
        <v>105</v>
      </c>
      <c r="F25">
        <v>1009</v>
      </c>
      <c r="G25" t="s">
        <v>106</v>
      </c>
      <c r="H25" t="s">
        <v>29</v>
      </c>
      <c r="I25">
        <v>29</v>
      </c>
      <c r="J25" t="s">
        <v>107</v>
      </c>
      <c r="K25" t="s">
        <v>118</v>
      </c>
      <c r="L25" t="s">
        <v>32</v>
      </c>
      <c r="M25" t="s">
        <v>44</v>
      </c>
      <c r="N25" t="s">
        <v>34</v>
      </c>
      <c r="O25" t="s">
        <v>109</v>
      </c>
      <c r="P25" t="s">
        <v>36</v>
      </c>
      <c r="Q25">
        <v>4</v>
      </c>
      <c r="R25">
        <v>0</v>
      </c>
      <c r="S25">
        <v>6</v>
      </c>
      <c r="T25" t="s">
        <v>48</v>
      </c>
      <c r="U25">
        <v>1.8</v>
      </c>
      <c r="V25">
        <v>3</v>
      </c>
      <c r="W25">
        <v>10</v>
      </c>
      <c r="X25">
        <v>2025</v>
      </c>
      <c r="Y25" t="s">
        <v>110</v>
      </c>
    </row>
    <row r="26" spans="1:25">
      <c r="A26" s="19">
        <v>45933</v>
      </c>
      <c r="B26" s="19">
        <v>46298</v>
      </c>
      <c r="C26" t="s">
        <v>111</v>
      </c>
      <c r="D26" t="s">
        <v>26</v>
      </c>
      <c r="E26" t="s">
        <v>112</v>
      </c>
      <c r="F26">
        <v>1010</v>
      </c>
      <c r="G26" t="s">
        <v>113</v>
      </c>
      <c r="H26" t="s">
        <v>29</v>
      </c>
      <c r="I26">
        <v>15</v>
      </c>
      <c r="J26" t="s">
        <v>99</v>
      </c>
      <c r="K26" t="s">
        <v>121</v>
      </c>
      <c r="L26" t="s">
        <v>43</v>
      </c>
      <c r="M26" t="s">
        <v>33</v>
      </c>
      <c r="N26" t="s">
        <v>45</v>
      </c>
      <c r="O26" t="s">
        <v>115</v>
      </c>
      <c r="P26" t="s">
        <v>36</v>
      </c>
      <c r="Q26">
        <v>3</v>
      </c>
      <c r="R26">
        <v>0</v>
      </c>
      <c r="S26">
        <v>1</v>
      </c>
      <c r="T26" t="s">
        <v>37</v>
      </c>
      <c r="U26">
        <v>2.5</v>
      </c>
      <c r="V26">
        <v>3</v>
      </c>
      <c r="W26">
        <v>4</v>
      </c>
      <c r="X26">
        <v>2025</v>
      </c>
      <c r="Y26" t="s">
        <v>116</v>
      </c>
    </row>
    <row r="27" spans="1:25">
      <c r="A27" s="19">
        <v>45964</v>
      </c>
      <c r="B27" s="19">
        <v>46329</v>
      </c>
      <c r="C27" t="s">
        <v>122</v>
      </c>
      <c r="D27" t="s">
        <v>26</v>
      </c>
      <c r="E27" t="s">
        <v>123</v>
      </c>
      <c r="F27">
        <v>1011</v>
      </c>
      <c r="G27" t="s">
        <v>124</v>
      </c>
      <c r="H27" t="s">
        <v>29</v>
      </c>
      <c r="I27">
        <v>22</v>
      </c>
      <c r="J27" t="s">
        <v>82</v>
      </c>
      <c r="K27" t="s">
        <v>125</v>
      </c>
      <c r="L27" t="s">
        <v>84</v>
      </c>
      <c r="M27" t="s">
        <v>33</v>
      </c>
      <c r="N27" t="s">
        <v>85</v>
      </c>
      <c r="O27" t="s">
        <v>126</v>
      </c>
      <c r="P27" t="s">
        <v>36</v>
      </c>
      <c r="Q27">
        <v>4</v>
      </c>
      <c r="R27">
        <v>0</v>
      </c>
      <c r="S27">
        <v>2</v>
      </c>
      <c r="T27" t="s">
        <v>48</v>
      </c>
      <c r="U27">
        <v>2.2999999999999998</v>
      </c>
      <c r="V27">
        <v>3</v>
      </c>
      <c r="W27">
        <v>6</v>
      </c>
      <c r="X27">
        <v>2025</v>
      </c>
      <c r="Y27" t="s">
        <v>127</v>
      </c>
    </row>
    <row r="28" spans="1:25">
      <c r="A28" s="19">
        <v>45994</v>
      </c>
      <c r="B28" s="19">
        <v>46359</v>
      </c>
      <c r="C28" t="s">
        <v>128</v>
      </c>
      <c r="D28" t="s">
        <v>26</v>
      </c>
      <c r="E28" t="s">
        <v>129</v>
      </c>
      <c r="F28">
        <v>1012</v>
      </c>
      <c r="G28" t="s">
        <v>130</v>
      </c>
      <c r="H28" t="s">
        <v>29</v>
      </c>
      <c r="I28">
        <v>27</v>
      </c>
      <c r="J28" t="s">
        <v>107</v>
      </c>
      <c r="K28" t="s">
        <v>131</v>
      </c>
      <c r="L28" t="s">
        <v>32</v>
      </c>
      <c r="M28" t="s">
        <v>44</v>
      </c>
      <c r="N28" t="s">
        <v>34</v>
      </c>
      <c r="O28" t="s">
        <v>132</v>
      </c>
      <c r="P28" t="s">
        <v>36</v>
      </c>
      <c r="Q28">
        <v>3</v>
      </c>
      <c r="R28">
        <v>0</v>
      </c>
      <c r="S28">
        <v>5</v>
      </c>
      <c r="T28" t="s">
        <v>37</v>
      </c>
      <c r="U28">
        <v>2.1</v>
      </c>
      <c r="V28">
        <v>2</v>
      </c>
      <c r="W28">
        <v>8</v>
      </c>
      <c r="X28">
        <v>2025</v>
      </c>
      <c r="Y28" t="s">
        <v>133</v>
      </c>
    </row>
    <row r="29" spans="1:25">
      <c r="A29" s="19">
        <v>46025</v>
      </c>
      <c r="B29" s="19">
        <v>45660</v>
      </c>
      <c r="C29" t="s">
        <v>134</v>
      </c>
      <c r="D29" t="s">
        <v>26</v>
      </c>
      <c r="E29" t="s">
        <v>135</v>
      </c>
      <c r="F29">
        <v>1013</v>
      </c>
      <c r="G29" t="s">
        <v>136</v>
      </c>
      <c r="H29" t="s">
        <v>29</v>
      </c>
      <c r="I29">
        <v>19</v>
      </c>
      <c r="J29" t="s">
        <v>91</v>
      </c>
      <c r="K29" t="s">
        <v>137</v>
      </c>
      <c r="L29" t="s">
        <v>93</v>
      </c>
      <c r="M29" t="s">
        <v>33</v>
      </c>
      <c r="N29" t="s">
        <v>45</v>
      </c>
      <c r="O29" t="s">
        <v>109</v>
      </c>
      <c r="P29" t="s">
        <v>36</v>
      </c>
      <c r="Q29">
        <v>1</v>
      </c>
      <c r="R29">
        <v>0</v>
      </c>
      <c r="S29">
        <v>6</v>
      </c>
      <c r="T29" t="s">
        <v>37</v>
      </c>
      <c r="U29">
        <v>1.5</v>
      </c>
      <c r="V29">
        <v>1</v>
      </c>
      <c r="W29">
        <v>7</v>
      </c>
      <c r="X29">
        <v>2026</v>
      </c>
      <c r="Y29" t="s">
        <v>38</v>
      </c>
    </row>
    <row r="30" spans="1:25">
      <c r="A30" s="19">
        <v>46056</v>
      </c>
      <c r="B30" s="19">
        <v>45719</v>
      </c>
      <c r="C30" t="s">
        <v>138</v>
      </c>
      <c r="D30" t="s">
        <v>26</v>
      </c>
      <c r="E30" t="s">
        <v>139</v>
      </c>
      <c r="F30">
        <v>1014</v>
      </c>
      <c r="G30" t="s">
        <v>140</v>
      </c>
      <c r="H30" t="s">
        <v>29</v>
      </c>
      <c r="I30">
        <v>24</v>
      </c>
      <c r="J30" t="s">
        <v>82</v>
      </c>
      <c r="K30" t="s">
        <v>141</v>
      </c>
      <c r="L30" t="s">
        <v>43</v>
      </c>
      <c r="M30" t="s">
        <v>44</v>
      </c>
      <c r="N30" t="s">
        <v>72</v>
      </c>
      <c r="O30" t="s">
        <v>35</v>
      </c>
      <c r="P30" t="s">
        <v>47</v>
      </c>
      <c r="Q30">
        <v>2</v>
      </c>
      <c r="R30">
        <v>0</v>
      </c>
      <c r="S30">
        <v>1</v>
      </c>
      <c r="T30" t="s">
        <v>48</v>
      </c>
      <c r="U30">
        <v>2</v>
      </c>
      <c r="V30">
        <v>2</v>
      </c>
      <c r="W30">
        <v>3</v>
      </c>
      <c r="X30">
        <v>2026</v>
      </c>
      <c r="Y30" t="s">
        <v>49</v>
      </c>
    </row>
    <row r="31" spans="1:25">
      <c r="A31" s="19">
        <v>46084</v>
      </c>
      <c r="B31" s="19">
        <v>45750</v>
      </c>
      <c r="C31" t="s">
        <v>142</v>
      </c>
      <c r="D31" t="s">
        <v>26</v>
      </c>
      <c r="E31" t="s">
        <v>143</v>
      </c>
      <c r="F31">
        <v>1015</v>
      </c>
      <c r="G31" t="s">
        <v>144</v>
      </c>
      <c r="H31" t="s">
        <v>29</v>
      </c>
      <c r="I31">
        <v>14</v>
      </c>
      <c r="J31" t="s">
        <v>99</v>
      </c>
      <c r="K31" t="s">
        <v>145</v>
      </c>
      <c r="L31" t="s">
        <v>93</v>
      </c>
      <c r="M31" t="s">
        <v>33</v>
      </c>
      <c r="N31" t="s">
        <v>101</v>
      </c>
      <c r="O31" t="s">
        <v>46</v>
      </c>
      <c r="P31" t="s">
        <v>36</v>
      </c>
      <c r="Q31">
        <v>3</v>
      </c>
      <c r="R31">
        <v>0</v>
      </c>
      <c r="S31">
        <v>6</v>
      </c>
      <c r="T31" t="s">
        <v>37</v>
      </c>
      <c r="U31">
        <v>2.4</v>
      </c>
      <c r="V31">
        <v>2</v>
      </c>
      <c r="W31">
        <v>9</v>
      </c>
      <c r="X31">
        <v>2026</v>
      </c>
      <c r="Y31" t="s">
        <v>58</v>
      </c>
    </row>
    <row r="32" spans="1:25">
      <c r="A32" s="19">
        <v>46115</v>
      </c>
      <c r="B32" s="19">
        <v>45780</v>
      </c>
      <c r="C32" t="s">
        <v>146</v>
      </c>
      <c r="D32" t="s">
        <v>26</v>
      </c>
      <c r="E32" t="s">
        <v>147</v>
      </c>
      <c r="F32">
        <v>1016</v>
      </c>
      <c r="G32" t="s">
        <v>148</v>
      </c>
      <c r="H32" t="s">
        <v>29</v>
      </c>
      <c r="I32">
        <v>30</v>
      </c>
      <c r="J32" t="s">
        <v>107</v>
      </c>
      <c r="K32" t="s">
        <v>149</v>
      </c>
      <c r="L32" t="s">
        <v>32</v>
      </c>
      <c r="M32" t="s">
        <v>44</v>
      </c>
      <c r="N32" t="s">
        <v>34</v>
      </c>
      <c r="O32" t="s">
        <v>57</v>
      </c>
      <c r="P32" t="s">
        <v>36</v>
      </c>
      <c r="Q32">
        <v>4</v>
      </c>
      <c r="R32">
        <v>0</v>
      </c>
      <c r="S32">
        <v>3</v>
      </c>
      <c r="T32" t="s">
        <v>48</v>
      </c>
      <c r="U32">
        <v>1.7</v>
      </c>
      <c r="V32">
        <v>3</v>
      </c>
      <c r="W32">
        <v>7</v>
      </c>
      <c r="X32">
        <v>2026</v>
      </c>
      <c r="Y32" t="s">
        <v>67</v>
      </c>
    </row>
    <row r="33" spans="1:25">
      <c r="A33" s="19">
        <v>46145</v>
      </c>
      <c r="B33" s="19">
        <v>45811</v>
      </c>
      <c r="C33" t="s">
        <v>150</v>
      </c>
      <c r="D33" t="s">
        <v>26</v>
      </c>
      <c r="E33" t="s">
        <v>151</v>
      </c>
      <c r="F33">
        <v>1017</v>
      </c>
      <c r="G33" t="s">
        <v>152</v>
      </c>
      <c r="H33" t="s">
        <v>29</v>
      </c>
      <c r="I33">
        <v>35</v>
      </c>
      <c r="J33" t="s">
        <v>30</v>
      </c>
      <c r="K33" t="s">
        <v>120</v>
      </c>
      <c r="L33" t="s">
        <v>43</v>
      </c>
      <c r="M33" t="s">
        <v>33</v>
      </c>
      <c r="N33" t="s">
        <v>45</v>
      </c>
      <c r="O33" t="s">
        <v>102</v>
      </c>
      <c r="P33" t="s">
        <v>47</v>
      </c>
      <c r="Q33">
        <v>5</v>
      </c>
      <c r="R33">
        <v>0</v>
      </c>
      <c r="S33">
        <v>16</v>
      </c>
      <c r="T33" t="s">
        <v>37</v>
      </c>
      <c r="U33">
        <v>2.6</v>
      </c>
      <c r="V33">
        <v>4</v>
      </c>
      <c r="W33">
        <v>21</v>
      </c>
      <c r="X33">
        <v>2026</v>
      </c>
      <c r="Y33" t="s">
        <v>74</v>
      </c>
    </row>
    <row r="34" spans="1:25">
      <c r="A34" s="19">
        <v>46176</v>
      </c>
      <c r="B34" s="19">
        <v>45841</v>
      </c>
      <c r="C34" t="s">
        <v>153</v>
      </c>
      <c r="D34" t="s">
        <v>26</v>
      </c>
      <c r="E34" t="s">
        <v>154</v>
      </c>
      <c r="F34">
        <v>1018</v>
      </c>
      <c r="G34" t="s">
        <v>155</v>
      </c>
      <c r="H34" t="s">
        <v>29</v>
      </c>
      <c r="I34">
        <v>48</v>
      </c>
      <c r="J34" t="s">
        <v>53</v>
      </c>
      <c r="K34" t="s">
        <v>120</v>
      </c>
      <c r="L34" t="s">
        <v>55</v>
      </c>
      <c r="M34" t="s">
        <v>44</v>
      </c>
      <c r="N34" t="s">
        <v>56</v>
      </c>
      <c r="O34" t="s">
        <v>86</v>
      </c>
      <c r="P34" t="s">
        <v>36</v>
      </c>
      <c r="Q34">
        <v>3</v>
      </c>
      <c r="R34">
        <v>1</v>
      </c>
      <c r="S34">
        <v>11</v>
      </c>
      <c r="T34" t="s">
        <v>48</v>
      </c>
      <c r="U34">
        <v>2.2999999999999998</v>
      </c>
      <c r="V34">
        <v>2</v>
      </c>
      <c r="W34">
        <v>15</v>
      </c>
      <c r="X34">
        <v>2026</v>
      </c>
      <c r="Y34" t="s">
        <v>87</v>
      </c>
    </row>
    <row r="35" spans="1:25">
      <c r="A35" s="19">
        <v>46206</v>
      </c>
      <c r="B35" s="19">
        <v>45661</v>
      </c>
      <c r="C35" t="s">
        <v>156</v>
      </c>
      <c r="D35" t="s">
        <v>26</v>
      </c>
      <c r="E35" t="s">
        <v>157</v>
      </c>
      <c r="F35">
        <v>1019</v>
      </c>
      <c r="G35" t="s">
        <v>158</v>
      </c>
      <c r="H35" t="s">
        <v>29</v>
      </c>
      <c r="I35">
        <v>53</v>
      </c>
      <c r="J35" t="s">
        <v>53</v>
      </c>
      <c r="K35" t="s">
        <v>120</v>
      </c>
      <c r="L35" t="s">
        <v>64</v>
      </c>
      <c r="M35" t="s">
        <v>33</v>
      </c>
      <c r="N35" t="s">
        <v>64</v>
      </c>
      <c r="O35" t="s">
        <v>94</v>
      </c>
      <c r="P35" t="s">
        <v>36</v>
      </c>
      <c r="Q35">
        <v>2</v>
      </c>
      <c r="R35">
        <v>0</v>
      </c>
      <c r="S35">
        <v>16</v>
      </c>
      <c r="T35" t="s">
        <v>37</v>
      </c>
      <c r="U35">
        <v>1.9</v>
      </c>
      <c r="V35">
        <v>2</v>
      </c>
      <c r="W35">
        <v>18</v>
      </c>
      <c r="X35">
        <v>2026</v>
      </c>
      <c r="Y35" t="s">
        <v>95</v>
      </c>
    </row>
    <row r="36" spans="1:25">
      <c r="A36" s="19">
        <v>46237</v>
      </c>
      <c r="B36" s="19">
        <v>45692</v>
      </c>
      <c r="C36" t="s">
        <v>159</v>
      </c>
      <c r="D36" t="s">
        <v>26</v>
      </c>
      <c r="E36" t="s">
        <v>160</v>
      </c>
      <c r="F36">
        <v>1020</v>
      </c>
      <c r="G36" t="s">
        <v>161</v>
      </c>
      <c r="H36" t="s">
        <v>29</v>
      </c>
      <c r="I36">
        <v>66</v>
      </c>
      <c r="J36" t="s">
        <v>62</v>
      </c>
      <c r="K36" t="s">
        <v>162</v>
      </c>
      <c r="L36" t="s">
        <v>84</v>
      </c>
      <c r="M36" t="s">
        <v>44</v>
      </c>
      <c r="N36" t="s">
        <v>85</v>
      </c>
      <c r="O36" t="s">
        <v>35</v>
      </c>
      <c r="P36" t="s">
        <v>36</v>
      </c>
      <c r="Q36">
        <v>3</v>
      </c>
      <c r="R36">
        <v>1</v>
      </c>
      <c r="S36">
        <v>0</v>
      </c>
      <c r="T36" t="s">
        <v>37</v>
      </c>
      <c r="U36">
        <v>2.8</v>
      </c>
      <c r="V36">
        <v>3</v>
      </c>
      <c r="W36">
        <v>4</v>
      </c>
      <c r="X36">
        <v>2026</v>
      </c>
      <c r="Y36" t="s">
        <v>103</v>
      </c>
    </row>
    <row r="37" spans="1:25">
      <c r="A37" s="19">
        <v>46268</v>
      </c>
      <c r="B37" s="19">
        <v>45720</v>
      </c>
      <c r="C37" t="s">
        <v>163</v>
      </c>
      <c r="D37" t="s">
        <v>26</v>
      </c>
      <c r="E37" t="s">
        <v>164</v>
      </c>
      <c r="F37">
        <v>1021</v>
      </c>
      <c r="G37" t="s">
        <v>165</v>
      </c>
      <c r="H37" t="s">
        <v>29</v>
      </c>
      <c r="I37">
        <v>37</v>
      </c>
      <c r="J37" t="s">
        <v>30</v>
      </c>
      <c r="K37" t="s">
        <v>166</v>
      </c>
      <c r="L37" t="s">
        <v>32</v>
      </c>
      <c r="M37" t="s">
        <v>33</v>
      </c>
      <c r="N37" t="s">
        <v>34</v>
      </c>
      <c r="O37" t="s">
        <v>109</v>
      </c>
      <c r="P37" t="s">
        <v>36</v>
      </c>
      <c r="Q37">
        <v>4</v>
      </c>
      <c r="R37">
        <v>0</v>
      </c>
      <c r="S37">
        <v>5</v>
      </c>
      <c r="T37" t="s">
        <v>37</v>
      </c>
      <c r="U37">
        <v>2.6</v>
      </c>
      <c r="V37">
        <v>2</v>
      </c>
      <c r="W37">
        <v>9</v>
      </c>
      <c r="X37">
        <v>2026</v>
      </c>
      <c r="Y37" t="s">
        <v>110</v>
      </c>
    </row>
    <row r="38" spans="1:25">
      <c r="A38" s="19">
        <v>46298</v>
      </c>
      <c r="B38" s="19">
        <v>45751</v>
      </c>
      <c r="C38" t="s">
        <v>167</v>
      </c>
      <c r="D38" t="s">
        <v>26</v>
      </c>
      <c r="E38" t="s">
        <v>168</v>
      </c>
      <c r="F38">
        <v>1022</v>
      </c>
      <c r="G38" t="s">
        <v>169</v>
      </c>
      <c r="H38" t="s">
        <v>29</v>
      </c>
      <c r="I38">
        <v>29</v>
      </c>
      <c r="J38" t="s">
        <v>107</v>
      </c>
      <c r="K38" t="s">
        <v>170</v>
      </c>
      <c r="L38" t="s">
        <v>43</v>
      </c>
      <c r="M38" t="s">
        <v>44</v>
      </c>
      <c r="N38" t="s">
        <v>72</v>
      </c>
      <c r="O38" t="s">
        <v>57</v>
      </c>
      <c r="P38" t="s">
        <v>47</v>
      </c>
      <c r="Q38">
        <v>2</v>
      </c>
      <c r="R38">
        <v>0</v>
      </c>
      <c r="S38">
        <v>0</v>
      </c>
      <c r="T38" t="s">
        <v>48</v>
      </c>
      <c r="U38">
        <v>1.7</v>
      </c>
      <c r="V38">
        <v>3</v>
      </c>
      <c r="W38">
        <v>2</v>
      </c>
      <c r="X38">
        <v>2026</v>
      </c>
      <c r="Y38" t="s">
        <v>116</v>
      </c>
    </row>
    <row r="39" spans="1:25">
      <c r="A39" s="19">
        <v>46329</v>
      </c>
      <c r="B39" s="19">
        <v>45781</v>
      </c>
      <c r="C39" t="s">
        <v>171</v>
      </c>
      <c r="D39" t="s">
        <v>26</v>
      </c>
      <c r="E39" t="s">
        <v>172</v>
      </c>
      <c r="F39">
        <v>1023</v>
      </c>
      <c r="G39" t="s">
        <v>173</v>
      </c>
      <c r="H39" t="s">
        <v>29</v>
      </c>
      <c r="I39">
        <v>16</v>
      </c>
      <c r="J39" t="s">
        <v>91</v>
      </c>
      <c r="K39" t="s">
        <v>120</v>
      </c>
      <c r="L39" t="s">
        <v>93</v>
      </c>
      <c r="M39" t="s">
        <v>33</v>
      </c>
      <c r="N39" t="s">
        <v>101</v>
      </c>
      <c r="O39" t="s">
        <v>86</v>
      </c>
      <c r="P39" t="s">
        <v>36</v>
      </c>
      <c r="Q39">
        <v>1</v>
      </c>
      <c r="R39">
        <v>0</v>
      </c>
      <c r="S39">
        <v>10</v>
      </c>
      <c r="T39" t="s">
        <v>37</v>
      </c>
      <c r="U39">
        <v>2.1</v>
      </c>
      <c r="V39">
        <v>1</v>
      </c>
      <c r="W39">
        <v>11</v>
      </c>
      <c r="X39">
        <v>2026</v>
      </c>
      <c r="Y39" t="s">
        <v>127</v>
      </c>
    </row>
    <row r="40" spans="1:25">
      <c r="A40" s="19">
        <v>46359</v>
      </c>
      <c r="B40" s="19">
        <v>45812</v>
      </c>
      <c r="C40" t="s">
        <v>174</v>
      </c>
      <c r="D40" t="s">
        <v>26</v>
      </c>
      <c r="E40" t="s">
        <v>175</v>
      </c>
      <c r="F40">
        <v>1024</v>
      </c>
      <c r="G40" t="s">
        <v>176</v>
      </c>
      <c r="H40" t="s">
        <v>29</v>
      </c>
      <c r="I40">
        <v>40</v>
      </c>
      <c r="J40" t="s">
        <v>30</v>
      </c>
      <c r="K40" t="s">
        <v>120</v>
      </c>
      <c r="L40" t="s">
        <v>84</v>
      </c>
      <c r="M40" t="s">
        <v>44</v>
      </c>
      <c r="N40" t="s">
        <v>85</v>
      </c>
      <c r="O40" t="s">
        <v>46</v>
      </c>
      <c r="P40" t="s">
        <v>36</v>
      </c>
      <c r="Q40">
        <v>3</v>
      </c>
      <c r="R40">
        <v>0</v>
      </c>
      <c r="S40">
        <v>10</v>
      </c>
      <c r="T40" t="s">
        <v>37</v>
      </c>
      <c r="U40">
        <v>1.5</v>
      </c>
      <c r="V40">
        <v>2</v>
      </c>
      <c r="W40">
        <v>13</v>
      </c>
      <c r="X40">
        <v>2026</v>
      </c>
      <c r="Y40" t="s">
        <v>133</v>
      </c>
    </row>
    <row r="41" spans="1:25">
      <c r="A41" s="19">
        <v>46176</v>
      </c>
      <c r="B41" s="19">
        <v>46359</v>
      </c>
      <c r="C41" t="s">
        <v>79</v>
      </c>
      <c r="D41" t="s">
        <v>26</v>
      </c>
      <c r="E41" t="s">
        <v>80</v>
      </c>
      <c r="F41">
        <v>1006</v>
      </c>
      <c r="G41" t="s">
        <v>81</v>
      </c>
      <c r="H41" t="s">
        <v>29</v>
      </c>
      <c r="I41">
        <v>25</v>
      </c>
      <c r="J41" t="s">
        <v>82</v>
      </c>
      <c r="K41" t="s">
        <v>267</v>
      </c>
      <c r="L41" t="s">
        <v>84</v>
      </c>
      <c r="M41" t="s">
        <v>33</v>
      </c>
      <c r="N41" t="s">
        <v>85</v>
      </c>
      <c r="O41" t="s">
        <v>86</v>
      </c>
      <c r="P41" t="s">
        <v>36</v>
      </c>
      <c r="Q41">
        <v>5</v>
      </c>
      <c r="R41">
        <v>0</v>
      </c>
      <c r="S41">
        <v>1</v>
      </c>
      <c r="T41" t="s">
        <v>37</v>
      </c>
      <c r="U41">
        <v>1.5</v>
      </c>
      <c r="V41">
        <v>3</v>
      </c>
      <c r="W41">
        <v>6</v>
      </c>
      <c r="X41">
        <v>2026</v>
      </c>
      <c r="Y41" t="s">
        <v>87</v>
      </c>
    </row>
    <row r="42" spans="1:25">
      <c r="A42" s="19">
        <v>45691</v>
      </c>
      <c r="B42" s="19">
        <v>45873</v>
      </c>
      <c r="C42" t="s">
        <v>179</v>
      </c>
      <c r="D42" t="s">
        <v>26</v>
      </c>
      <c r="E42" t="s">
        <v>27</v>
      </c>
      <c r="F42">
        <v>1026</v>
      </c>
      <c r="G42" t="s">
        <v>180</v>
      </c>
      <c r="H42" t="s">
        <v>29</v>
      </c>
      <c r="I42">
        <v>12</v>
      </c>
      <c r="J42" t="s">
        <v>99</v>
      </c>
      <c r="K42" t="s">
        <v>181</v>
      </c>
      <c r="L42" t="s">
        <v>93</v>
      </c>
      <c r="M42" t="s">
        <v>44</v>
      </c>
      <c r="N42" t="s">
        <v>45</v>
      </c>
      <c r="O42" t="s">
        <v>109</v>
      </c>
      <c r="P42" t="s">
        <v>36</v>
      </c>
      <c r="Q42">
        <v>1</v>
      </c>
      <c r="R42">
        <v>0</v>
      </c>
      <c r="S42">
        <v>0</v>
      </c>
      <c r="T42" t="s">
        <v>48</v>
      </c>
      <c r="U42">
        <v>1.3</v>
      </c>
      <c r="V42">
        <v>1</v>
      </c>
      <c r="W42">
        <v>1</v>
      </c>
      <c r="X42">
        <v>2025</v>
      </c>
      <c r="Y42" t="s">
        <v>49</v>
      </c>
    </row>
    <row r="43" spans="1:25">
      <c r="A43" s="19">
        <v>46115</v>
      </c>
      <c r="B43" s="19">
        <v>46298</v>
      </c>
      <c r="C43" t="s">
        <v>59</v>
      </c>
      <c r="D43" t="s">
        <v>26</v>
      </c>
      <c r="E43" t="s">
        <v>60</v>
      </c>
      <c r="F43">
        <v>1004</v>
      </c>
      <c r="G43" t="s">
        <v>61</v>
      </c>
      <c r="H43" t="s">
        <v>29</v>
      </c>
      <c r="I43">
        <v>70</v>
      </c>
      <c r="J43" t="s">
        <v>62</v>
      </c>
      <c r="K43" t="s">
        <v>209</v>
      </c>
      <c r="L43" t="s">
        <v>64</v>
      </c>
      <c r="M43" t="s">
        <v>33</v>
      </c>
      <c r="N43" t="s">
        <v>64</v>
      </c>
      <c r="O43" t="s">
        <v>65</v>
      </c>
      <c r="P43" t="s">
        <v>47</v>
      </c>
      <c r="Q43">
        <v>8</v>
      </c>
      <c r="R43">
        <v>2</v>
      </c>
      <c r="S43">
        <v>0</v>
      </c>
      <c r="T43" t="s">
        <v>66</v>
      </c>
      <c r="U43">
        <v>2.1</v>
      </c>
      <c r="V43">
        <v>8</v>
      </c>
      <c r="W43">
        <v>10</v>
      </c>
      <c r="X43">
        <v>2026</v>
      </c>
      <c r="Y43" t="s">
        <v>67</v>
      </c>
    </row>
    <row r="44" spans="1:25">
      <c r="A44" s="19">
        <v>45750</v>
      </c>
      <c r="B44" s="19">
        <v>45934</v>
      </c>
      <c r="C44" t="s">
        <v>185</v>
      </c>
      <c r="D44" t="s">
        <v>26</v>
      </c>
      <c r="E44" t="s">
        <v>186</v>
      </c>
      <c r="F44">
        <v>1028</v>
      </c>
      <c r="G44" t="s">
        <v>187</v>
      </c>
      <c r="H44" t="s">
        <v>29</v>
      </c>
      <c r="I44">
        <v>58</v>
      </c>
      <c r="J44" t="s">
        <v>53</v>
      </c>
      <c r="K44" t="s">
        <v>188</v>
      </c>
      <c r="L44" t="s">
        <v>55</v>
      </c>
      <c r="M44" t="s">
        <v>44</v>
      </c>
      <c r="N44" t="s">
        <v>34</v>
      </c>
      <c r="O44" t="s">
        <v>126</v>
      </c>
      <c r="P44" t="s">
        <v>36</v>
      </c>
      <c r="Q44">
        <v>2</v>
      </c>
      <c r="R44">
        <v>0</v>
      </c>
      <c r="S44">
        <v>0</v>
      </c>
      <c r="T44" t="s">
        <v>48</v>
      </c>
      <c r="U44">
        <v>2.5</v>
      </c>
      <c r="V44">
        <v>2</v>
      </c>
      <c r="W44">
        <v>2</v>
      </c>
      <c r="X44">
        <v>2025</v>
      </c>
      <c r="Y44" t="s">
        <v>67</v>
      </c>
    </row>
    <row r="45" spans="1:25">
      <c r="A45" s="19">
        <v>46056</v>
      </c>
      <c r="B45" s="19">
        <v>46206</v>
      </c>
      <c r="C45" t="s">
        <v>39</v>
      </c>
      <c r="D45" t="s">
        <v>26</v>
      </c>
      <c r="E45" t="s">
        <v>27</v>
      </c>
      <c r="F45">
        <v>1002</v>
      </c>
      <c r="G45" t="s">
        <v>40</v>
      </c>
      <c r="H45" t="s">
        <v>29</v>
      </c>
      <c r="I45">
        <v>32</v>
      </c>
      <c r="J45" t="s">
        <v>30</v>
      </c>
      <c r="K45" t="s">
        <v>149</v>
      </c>
      <c r="L45" t="s">
        <v>43</v>
      </c>
      <c r="M45" t="s">
        <v>44</v>
      </c>
      <c r="N45" t="s">
        <v>45</v>
      </c>
      <c r="O45" t="s">
        <v>46</v>
      </c>
      <c r="P45" t="s">
        <v>47</v>
      </c>
      <c r="Q45">
        <v>17</v>
      </c>
      <c r="R45">
        <v>12</v>
      </c>
      <c r="S45">
        <v>1</v>
      </c>
      <c r="T45" t="s">
        <v>48</v>
      </c>
      <c r="U45">
        <v>3</v>
      </c>
      <c r="V45">
        <v>5</v>
      </c>
      <c r="W45">
        <v>30</v>
      </c>
      <c r="X45">
        <v>2026</v>
      </c>
      <c r="Y45" t="s">
        <v>49</v>
      </c>
    </row>
    <row r="46" spans="1:25">
      <c r="A46" s="19">
        <v>45811</v>
      </c>
      <c r="B46" s="19">
        <v>45995</v>
      </c>
      <c r="C46" t="s">
        <v>192</v>
      </c>
      <c r="D46" t="s">
        <v>26</v>
      </c>
      <c r="E46" t="s">
        <v>193</v>
      </c>
      <c r="F46">
        <v>1030</v>
      </c>
      <c r="G46" t="s">
        <v>194</v>
      </c>
      <c r="H46" t="s">
        <v>29</v>
      </c>
      <c r="I46">
        <v>22</v>
      </c>
      <c r="J46" t="s">
        <v>82</v>
      </c>
      <c r="K46" t="s">
        <v>188</v>
      </c>
      <c r="L46" t="s">
        <v>84</v>
      </c>
      <c r="M46" t="s">
        <v>44</v>
      </c>
      <c r="N46" t="s">
        <v>85</v>
      </c>
      <c r="O46" t="s">
        <v>35</v>
      </c>
      <c r="P46" t="s">
        <v>36</v>
      </c>
      <c r="Q46">
        <v>4</v>
      </c>
      <c r="R46">
        <v>0</v>
      </c>
      <c r="S46">
        <v>4</v>
      </c>
      <c r="T46" t="s">
        <v>48</v>
      </c>
      <c r="U46">
        <v>1.4</v>
      </c>
      <c r="V46">
        <v>2</v>
      </c>
      <c r="W46">
        <v>8</v>
      </c>
      <c r="X46">
        <v>2025</v>
      </c>
      <c r="Y46" t="s">
        <v>87</v>
      </c>
    </row>
    <row r="47" spans="1:25">
      <c r="A47" s="19">
        <v>46025</v>
      </c>
      <c r="B47" s="19">
        <v>46145</v>
      </c>
      <c r="C47" t="s">
        <v>25</v>
      </c>
      <c r="D47" t="s">
        <v>26</v>
      </c>
      <c r="E47" t="s">
        <v>27</v>
      </c>
      <c r="F47">
        <v>1001</v>
      </c>
      <c r="G47" t="s">
        <v>28</v>
      </c>
      <c r="H47" t="s">
        <v>29</v>
      </c>
      <c r="I47">
        <v>45</v>
      </c>
      <c r="J47" t="s">
        <v>30</v>
      </c>
      <c r="K47" t="s">
        <v>297</v>
      </c>
      <c r="L47" t="s">
        <v>32</v>
      </c>
      <c r="M47" t="s">
        <v>33</v>
      </c>
      <c r="N47" t="s">
        <v>34</v>
      </c>
      <c r="O47" t="s">
        <v>35</v>
      </c>
      <c r="P47" t="s">
        <v>36</v>
      </c>
      <c r="Q47">
        <v>13</v>
      </c>
      <c r="R47">
        <v>7</v>
      </c>
      <c r="S47">
        <v>6</v>
      </c>
      <c r="T47" t="s">
        <v>37</v>
      </c>
      <c r="U47">
        <v>2.5</v>
      </c>
      <c r="V47">
        <v>7</v>
      </c>
      <c r="W47">
        <v>26</v>
      </c>
      <c r="X47">
        <v>2026</v>
      </c>
      <c r="Y47" t="s">
        <v>38</v>
      </c>
    </row>
    <row r="48" spans="1:25">
      <c r="A48" s="19">
        <v>45691</v>
      </c>
      <c r="B48" s="19">
        <v>46057</v>
      </c>
      <c r="C48" t="s">
        <v>199</v>
      </c>
      <c r="D48" t="s">
        <v>26</v>
      </c>
      <c r="E48" t="s">
        <v>157</v>
      </c>
      <c r="F48">
        <v>1032</v>
      </c>
      <c r="G48" t="s">
        <v>200</v>
      </c>
      <c r="H48" t="s">
        <v>29</v>
      </c>
      <c r="I48">
        <v>27</v>
      </c>
      <c r="J48" t="s">
        <v>107</v>
      </c>
      <c r="K48" t="s">
        <v>188</v>
      </c>
      <c r="L48" t="s">
        <v>32</v>
      </c>
      <c r="M48" t="s">
        <v>44</v>
      </c>
      <c r="N48" t="s">
        <v>34</v>
      </c>
      <c r="O48" t="s">
        <v>109</v>
      </c>
      <c r="P48" t="s">
        <v>36</v>
      </c>
      <c r="Q48">
        <v>3</v>
      </c>
      <c r="R48">
        <v>0</v>
      </c>
      <c r="S48">
        <v>4</v>
      </c>
      <c r="T48" t="s">
        <v>48</v>
      </c>
      <c r="U48">
        <v>1.8</v>
      </c>
      <c r="V48">
        <v>3</v>
      </c>
      <c r="W48">
        <v>7</v>
      </c>
      <c r="X48">
        <v>2025</v>
      </c>
      <c r="Y48" t="s">
        <v>49</v>
      </c>
    </row>
    <row r="49" spans="1:25">
      <c r="A49" s="19">
        <v>46298</v>
      </c>
      <c r="B49" s="19">
        <v>45933</v>
      </c>
      <c r="C49" t="s">
        <v>111</v>
      </c>
      <c r="D49" t="s">
        <v>26</v>
      </c>
      <c r="E49" t="s">
        <v>112</v>
      </c>
      <c r="F49">
        <v>1010</v>
      </c>
      <c r="G49" t="s">
        <v>113</v>
      </c>
      <c r="H49" t="s">
        <v>29</v>
      </c>
      <c r="I49">
        <v>15</v>
      </c>
      <c r="J49" t="s">
        <v>99</v>
      </c>
      <c r="K49" t="s">
        <v>250</v>
      </c>
      <c r="L49" t="s">
        <v>43</v>
      </c>
      <c r="M49" t="s">
        <v>33</v>
      </c>
      <c r="N49" t="s">
        <v>45</v>
      </c>
      <c r="O49" t="s">
        <v>115</v>
      </c>
      <c r="P49" t="s">
        <v>36</v>
      </c>
      <c r="Q49">
        <v>3</v>
      </c>
      <c r="R49">
        <v>0</v>
      </c>
      <c r="S49">
        <v>0</v>
      </c>
      <c r="T49" t="s">
        <v>37</v>
      </c>
      <c r="U49">
        <v>2.5</v>
      </c>
      <c r="V49">
        <v>3</v>
      </c>
      <c r="W49">
        <v>3</v>
      </c>
      <c r="X49">
        <v>2026</v>
      </c>
      <c r="Y49" t="s">
        <v>116</v>
      </c>
    </row>
    <row r="50" spans="1:25">
      <c r="A50" s="19">
        <v>45750</v>
      </c>
      <c r="B50" s="19">
        <v>46116</v>
      </c>
      <c r="C50" t="s">
        <v>204</v>
      </c>
      <c r="D50" t="s">
        <v>26</v>
      </c>
      <c r="E50" t="s">
        <v>129</v>
      </c>
      <c r="F50">
        <v>1034</v>
      </c>
      <c r="G50" t="s">
        <v>205</v>
      </c>
      <c r="H50" t="s">
        <v>29</v>
      </c>
      <c r="I50">
        <v>43</v>
      </c>
      <c r="J50" t="s">
        <v>30</v>
      </c>
      <c r="K50" t="s">
        <v>170</v>
      </c>
      <c r="L50" t="s">
        <v>55</v>
      </c>
      <c r="M50" t="s">
        <v>44</v>
      </c>
      <c r="N50" t="s">
        <v>56</v>
      </c>
      <c r="O50" t="s">
        <v>94</v>
      </c>
      <c r="P50" t="s">
        <v>36</v>
      </c>
      <c r="Q50">
        <v>1</v>
      </c>
      <c r="R50">
        <v>0</v>
      </c>
      <c r="S50">
        <v>6</v>
      </c>
      <c r="T50" t="s">
        <v>48</v>
      </c>
      <c r="U50">
        <v>1.9</v>
      </c>
      <c r="V50">
        <v>2</v>
      </c>
      <c r="W50">
        <v>7</v>
      </c>
      <c r="X50">
        <v>2025</v>
      </c>
      <c r="Y50" t="s">
        <v>67</v>
      </c>
    </row>
    <row r="51" spans="1:25">
      <c r="A51" s="19">
        <v>46237</v>
      </c>
      <c r="B51" s="19">
        <v>45872</v>
      </c>
      <c r="C51" t="s">
        <v>96</v>
      </c>
      <c r="D51" t="s">
        <v>26</v>
      </c>
      <c r="E51" t="s">
        <v>97</v>
      </c>
      <c r="F51">
        <v>1008</v>
      </c>
      <c r="G51" t="s">
        <v>98</v>
      </c>
      <c r="H51" t="s">
        <v>29</v>
      </c>
      <c r="I51">
        <v>12</v>
      </c>
      <c r="J51" t="s">
        <v>99</v>
      </c>
      <c r="K51" t="s">
        <v>141</v>
      </c>
      <c r="L51" t="s">
        <v>93</v>
      </c>
      <c r="M51" t="s">
        <v>33</v>
      </c>
      <c r="N51" t="s">
        <v>101</v>
      </c>
      <c r="O51" t="s">
        <v>102</v>
      </c>
      <c r="P51" t="s">
        <v>47</v>
      </c>
      <c r="Q51">
        <v>1</v>
      </c>
      <c r="R51">
        <v>0</v>
      </c>
      <c r="S51">
        <v>1</v>
      </c>
      <c r="T51" t="s">
        <v>37</v>
      </c>
      <c r="U51">
        <v>2.2000000000000002</v>
      </c>
      <c r="V51">
        <v>2</v>
      </c>
      <c r="W51">
        <v>2</v>
      </c>
      <c r="X51">
        <v>2026</v>
      </c>
      <c r="Y51" t="s">
        <v>103</v>
      </c>
    </row>
    <row r="52" spans="1:25">
      <c r="A52" s="19">
        <v>45811</v>
      </c>
      <c r="B52" s="19">
        <v>46177</v>
      </c>
      <c r="C52" t="s">
        <v>210</v>
      </c>
      <c r="D52" t="s">
        <v>26</v>
      </c>
      <c r="E52" t="s">
        <v>211</v>
      </c>
      <c r="F52">
        <v>1036</v>
      </c>
      <c r="G52" t="s">
        <v>212</v>
      </c>
      <c r="H52" t="s">
        <v>29</v>
      </c>
      <c r="I52">
        <v>60</v>
      </c>
      <c r="J52" t="s">
        <v>62</v>
      </c>
      <c r="K52" t="s">
        <v>213</v>
      </c>
      <c r="L52" t="s">
        <v>32</v>
      </c>
      <c r="M52" t="s">
        <v>44</v>
      </c>
      <c r="N52" t="s">
        <v>34</v>
      </c>
      <c r="O52" t="s">
        <v>35</v>
      </c>
      <c r="P52" t="s">
        <v>36</v>
      </c>
      <c r="Q52">
        <v>4</v>
      </c>
      <c r="R52">
        <v>0</v>
      </c>
      <c r="S52">
        <v>4</v>
      </c>
      <c r="T52" t="s">
        <v>48</v>
      </c>
      <c r="U52">
        <v>2.4</v>
      </c>
      <c r="V52">
        <v>2</v>
      </c>
      <c r="W52">
        <v>8</v>
      </c>
      <c r="X52">
        <v>2025</v>
      </c>
      <c r="Y52" t="s">
        <v>87</v>
      </c>
    </row>
    <row r="53" spans="1:25">
      <c r="A53" s="19">
        <v>46176</v>
      </c>
      <c r="B53" s="19">
        <v>46359</v>
      </c>
      <c r="C53" t="s">
        <v>79</v>
      </c>
      <c r="D53" t="s">
        <v>26</v>
      </c>
      <c r="E53" t="s">
        <v>80</v>
      </c>
      <c r="F53">
        <v>1006</v>
      </c>
      <c r="G53" t="s">
        <v>81</v>
      </c>
      <c r="H53" t="s">
        <v>29</v>
      </c>
      <c r="I53">
        <v>25</v>
      </c>
      <c r="J53" t="s">
        <v>82</v>
      </c>
      <c r="K53" t="s">
        <v>145</v>
      </c>
      <c r="L53" t="s">
        <v>84</v>
      </c>
      <c r="M53" t="s">
        <v>33</v>
      </c>
      <c r="N53" t="s">
        <v>85</v>
      </c>
      <c r="O53" t="s">
        <v>86</v>
      </c>
      <c r="P53" t="s">
        <v>36</v>
      </c>
      <c r="Q53">
        <v>5</v>
      </c>
      <c r="R53">
        <v>0</v>
      </c>
      <c r="S53">
        <v>0</v>
      </c>
      <c r="T53" t="s">
        <v>37</v>
      </c>
      <c r="U53">
        <v>1.5</v>
      </c>
      <c r="V53">
        <v>3</v>
      </c>
      <c r="W53">
        <v>5</v>
      </c>
      <c r="X53">
        <v>2026</v>
      </c>
      <c r="Y53" t="s">
        <v>87</v>
      </c>
    </row>
    <row r="54" spans="1:25">
      <c r="A54" s="19">
        <v>45872</v>
      </c>
      <c r="B54" s="19">
        <v>46238</v>
      </c>
      <c r="C54" t="s">
        <v>216</v>
      </c>
      <c r="D54" t="s">
        <v>26</v>
      </c>
      <c r="E54" t="s">
        <v>217</v>
      </c>
      <c r="F54">
        <v>1038</v>
      </c>
      <c r="G54" t="s">
        <v>161</v>
      </c>
      <c r="H54" t="s">
        <v>29</v>
      </c>
      <c r="I54">
        <v>45</v>
      </c>
      <c r="J54" t="s">
        <v>53</v>
      </c>
      <c r="K54" t="s">
        <v>213</v>
      </c>
      <c r="L54" t="s">
        <v>64</v>
      </c>
      <c r="M54" t="s">
        <v>44</v>
      </c>
      <c r="N54" t="s">
        <v>64</v>
      </c>
      <c r="O54" t="s">
        <v>109</v>
      </c>
      <c r="P54" t="s">
        <v>36</v>
      </c>
      <c r="Q54">
        <v>2</v>
      </c>
      <c r="R54">
        <v>0</v>
      </c>
      <c r="S54">
        <v>6</v>
      </c>
      <c r="T54" t="s">
        <v>48</v>
      </c>
      <c r="U54">
        <v>1.8</v>
      </c>
      <c r="V54">
        <v>3</v>
      </c>
      <c r="W54">
        <v>8</v>
      </c>
      <c r="X54">
        <v>2025</v>
      </c>
      <c r="Y54" t="s">
        <v>103</v>
      </c>
    </row>
    <row r="55" spans="1:25">
      <c r="A55" s="19">
        <v>46145</v>
      </c>
      <c r="B55" s="19">
        <v>46329</v>
      </c>
      <c r="C55" t="s">
        <v>68</v>
      </c>
      <c r="D55" t="s">
        <v>26</v>
      </c>
      <c r="E55" t="s">
        <v>27</v>
      </c>
      <c r="F55">
        <v>1005</v>
      </c>
      <c r="G55" t="s">
        <v>69</v>
      </c>
      <c r="H55" t="s">
        <v>29</v>
      </c>
      <c r="I55">
        <v>38</v>
      </c>
      <c r="J55" t="s">
        <v>30</v>
      </c>
      <c r="K55" t="s">
        <v>141</v>
      </c>
      <c r="L55" t="s">
        <v>71</v>
      </c>
      <c r="M55" t="s">
        <v>44</v>
      </c>
      <c r="N55" t="s">
        <v>72</v>
      </c>
      <c r="O55" t="s">
        <v>73</v>
      </c>
      <c r="P55" t="s">
        <v>36</v>
      </c>
      <c r="Q55">
        <v>9</v>
      </c>
      <c r="R55">
        <v>1</v>
      </c>
      <c r="S55">
        <v>2</v>
      </c>
      <c r="T55" t="s">
        <v>37</v>
      </c>
      <c r="U55">
        <v>2.9</v>
      </c>
      <c r="V55">
        <v>4</v>
      </c>
      <c r="W55">
        <v>12</v>
      </c>
      <c r="X55">
        <v>2026</v>
      </c>
      <c r="Y55" t="s">
        <v>74</v>
      </c>
    </row>
    <row r="56" spans="1:25">
      <c r="A56" s="19">
        <v>45691</v>
      </c>
      <c r="B56" s="19">
        <v>46299</v>
      </c>
      <c r="C56" t="s">
        <v>219</v>
      </c>
      <c r="D56" t="s">
        <v>26</v>
      </c>
      <c r="E56" t="s">
        <v>186</v>
      </c>
      <c r="F56">
        <v>1040</v>
      </c>
      <c r="G56" t="s">
        <v>180</v>
      </c>
      <c r="H56" t="s">
        <v>29</v>
      </c>
      <c r="I56">
        <v>42</v>
      </c>
      <c r="J56" t="s">
        <v>30</v>
      </c>
      <c r="K56" t="s">
        <v>141</v>
      </c>
      <c r="L56" t="s">
        <v>55</v>
      </c>
      <c r="M56" t="s">
        <v>44</v>
      </c>
      <c r="N56" t="s">
        <v>34</v>
      </c>
      <c r="O56" t="s">
        <v>35</v>
      </c>
      <c r="P56" t="s">
        <v>36</v>
      </c>
      <c r="Q56">
        <v>3</v>
      </c>
      <c r="R56">
        <v>0</v>
      </c>
      <c r="S56">
        <v>4</v>
      </c>
      <c r="T56" t="s">
        <v>48</v>
      </c>
      <c r="U56">
        <v>2.1</v>
      </c>
      <c r="V56">
        <v>2</v>
      </c>
      <c r="W56">
        <v>7</v>
      </c>
      <c r="X56">
        <v>2025</v>
      </c>
      <c r="Y56" t="s">
        <v>49</v>
      </c>
    </row>
    <row r="57" spans="1:25">
      <c r="A57" s="19">
        <v>46115</v>
      </c>
      <c r="B57" s="19">
        <v>46298</v>
      </c>
      <c r="C57" t="s">
        <v>59</v>
      </c>
      <c r="D57" t="s">
        <v>26</v>
      </c>
      <c r="E57" t="s">
        <v>60</v>
      </c>
      <c r="F57">
        <v>1004</v>
      </c>
      <c r="G57" t="s">
        <v>61</v>
      </c>
      <c r="H57" t="s">
        <v>29</v>
      </c>
      <c r="I57">
        <v>70</v>
      </c>
      <c r="J57" t="s">
        <v>62</v>
      </c>
      <c r="K57" t="s">
        <v>100</v>
      </c>
      <c r="L57" t="s">
        <v>64</v>
      </c>
      <c r="M57" t="s">
        <v>33</v>
      </c>
      <c r="N57" t="s">
        <v>64</v>
      </c>
      <c r="O57" t="s">
        <v>65</v>
      </c>
      <c r="P57" t="s">
        <v>47</v>
      </c>
      <c r="Q57">
        <v>8</v>
      </c>
      <c r="R57">
        <v>2</v>
      </c>
      <c r="S57">
        <v>0</v>
      </c>
      <c r="T57" t="s">
        <v>66</v>
      </c>
      <c r="U57">
        <v>2.1</v>
      </c>
      <c r="V57">
        <v>8</v>
      </c>
      <c r="W57">
        <v>10</v>
      </c>
      <c r="X57">
        <v>2026</v>
      </c>
      <c r="Y57" t="s">
        <v>67</v>
      </c>
    </row>
    <row r="58" spans="1:25">
      <c r="A58" s="19">
        <v>45691</v>
      </c>
      <c r="B58" s="19">
        <v>46360</v>
      </c>
      <c r="C58" t="s">
        <v>223</v>
      </c>
      <c r="D58" t="s">
        <v>26</v>
      </c>
      <c r="E58" t="s">
        <v>139</v>
      </c>
      <c r="F58">
        <v>1042</v>
      </c>
      <c r="G58" t="s">
        <v>224</v>
      </c>
      <c r="H58" t="s">
        <v>29</v>
      </c>
      <c r="I58">
        <v>36</v>
      </c>
      <c r="J58" t="s">
        <v>30</v>
      </c>
      <c r="K58" t="s">
        <v>225</v>
      </c>
      <c r="L58" t="s">
        <v>84</v>
      </c>
      <c r="M58" t="s">
        <v>44</v>
      </c>
      <c r="N58" t="s">
        <v>85</v>
      </c>
      <c r="O58" t="s">
        <v>109</v>
      </c>
      <c r="P58" t="s">
        <v>36</v>
      </c>
      <c r="Q58">
        <v>2</v>
      </c>
      <c r="R58">
        <v>0</v>
      </c>
      <c r="S58">
        <v>6</v>
      </c>
      <c r="T58" t="s">
        <v>37</v>
      </c>
      <c r="U58">
        <v>1.6</v>
      </c>
      <c r="V58">
        <v>2</v>
      </c>
      <c r="W58">
        <v>8</v>
      </c>
      <c r="X58">
        <v>2025</v>
      </c>
      <c r="Y58" t="s">
        <v>49</v>
      </c>
    </row>
    <row r="59" spans="1:25">
      <c r="A59" s="19">
        <v>46056</v>
      </c>
      <c r="B59" s="19">
        <v>46206</v>
      </c>
      <c r="C59" t="s">
        <v>39</v>
      </c>
      <c r="D59" t="s">
        <v>26</v>
      </c>
      <c r="E59" t="s">
        <v>27</v>
      </c>
      <c r="F59">
        <v>1002</v>
      </c>
      <c r="G59" t="s">
        <v>40</v>
      </c>
      <c r="H59" t="s">
        <v>29</v>
      </c>
      <c r="I59">
        <v>32</v>
      </c>
      <c r="J59" t="s">
        <v>30</v>
      </c>
      <c r="K59" t="s">
        <v>287</v>
      </c>
      <c r="L59" t="s">
        <v>43</v>
      </c>
      <c r="M59" t="s">
        <v>44</v>
      </c>
      <c r="N59" t="s">
        <v>45</v>
      </c>
      <c r="O59" t="s">
        <v>46</v>
      </c>
      <c r="P59" t="s">
        <v>47</v>
      </c>
      <c r="Q59">
        <v>17</v>
      </c>
      <c r="R59">
        <v>12</v>
      </c>
      <c r="S59">
        <v>0</v>
      </c>
      <c r="T59" t="s">
        <v>48</v>
      </c>
      <c r="U59">
        <v>3</v>
      </c>
      <c r="V59">
        <v>5</v>
      </c>
      <c r="W59">
        <v>29</v>
      </c>
      <c r="X59">
        <v>2026</v>
      </c>
      <c r="Y59" t="s">
        <v>49</v>
      </c>
    </row>
    <row r="60" spans="1:25">
      <c r="A60" s="19">
        <v>45750</v>
      </c>
      <c r="B60" s="19">
        <v>45692</v>
      </c>
      <c r="C60" t="s">
        <v>230</v>
      </c>
      <c r="D60" t="s">
        <v>26</v>
      </c>
      <c r="E60" t="s">
        <v>202</v>
      </c>
      <c r="F60">
        <v>1044</v>
      </c>
      <c r="G60" t="s">
        <v>231</v>
      </c>
      <c r="H60" t="s">
        <v>29</v>
      </c>
      <c r="I60">
        <v>34</v>
      </c>
      <c r="J60" t="s">
        <v>30</v>
      </c>
      <c r="K60" t="s">
        <v>232</v>
      </c>
      <c r="L60" t="s">
        <v>55</v>
      </c>
      <c r="M60" t="s">
        <v>44</v>
      </c>
      <c r="N60" t="s">
        <v>56</v>
      </c>
      <c r="O60" t="s">
        <v>35</v>
      </c>
      <c r="P60" t="s">
        <v>36</v>
      </c>
      <c r="Q60">
        <v>4</v>
      </c>
      <c r="R60">
        <v>0</v>
      </c>
      <c r="S60">
        <v>0</v>
      </c>
      <c r="T60" t="s">
        <v>48</v>
      </c>
      <c r="U60">
        <v>1.4</v>
      </c>
      <c r="V60">
        <v>2</v>
      </c>
      <c r="W60">
        <v>4</v>
      </c>
      <c r="X60">
        <v>2025</v>
      </c>
      <c r="Y60" t="s">
        <v>67</v>
      </c>
    </row>
    <row r="61" spans="1:25">
      <c r="A61" s="19">
        <v>46025</v>
      </c>
      <c r="B61" s="19">
        <v>46145</v>
      </c>
      <c r="C61" t="s">
        <v>25</v>
      </c>
      <c r="D61" t="s">
        <v>26</v>
      </c>
      <c r="E61" t="s">
        <v>27</v>
      </c>
      <c r="F61">
        <v>1001</v>
      </c>
      <c r="G61" t="s">
        <v>28</v>
      </c>
      <c r="H61" t="s">
        <v>29</v>
      </c>
      <c r="I61">
        <v>45</v>
      </c>
      <c r="J61" t="s">
        <v>30</v>
      </c>
      <c r="K61" t="s">
        <v>117</v>
      </c>
      <c r="L61" t="s">
        <v>32</v>
      </c>
      <c r="M61" t="s">
        <v>33</v>
      </c>
      <c r="N61" t="s">
        <v>34</v>
      </c>
      <c r="O61" t="s">
        <v>35</v>
      </c>
      <c r="P61" t="s">
        <v>36</v>
      </c>
      <c r="Q61">
        <v>13</v>
      </c>
      <c r="R61">
        <v>7</v>
      </c>
      <c r="S61">
        <v>2</v>
      </c>
      <c r="T61" t="s">
        <v>37</v>
      </c>
      <c r="U61">
        <v>2.5</v>
      </c>
      <c r="V61">
        <v>7</v>
      </c>
      <c r="W61">
        <v>22</v>
      </c>
      <c r="X61">
        <v>2026</v>
      </c>
      <c r="Y61" t="s">
        <v>38</v>
      </c>
    </row>
    <row r="62" spans="1:25">
      <c r="A62" s="19">
        <v>45811</v>
      </c>
      <c r="B62" s="19">
        <v>45751</v>
      </c>
      <c r="C62" t="s">
        <v>150</v>
      </c>
      <c r="D62" t="s">
        <v>26</v>
      </c>
      <c r="E62" t="s">
        <v>147</v>
      </c>
      <c r="F62">
        <v>1046</v>
      </c>
      <c r="G62" t="s">
        <v>236</v>
      </c>
      <c r="H62" t="s">
        <v>29</v>
      </c>
      <c r="I62">
        <v>39</v>
      </c>
      <c r="J62" t="s">
        <v>30</v>
      </c>
      <c r="K62" t="s">
        <v>213</v>
      </c>
      <c r="L62" t="s">
        <v>93</v>
      </c>
      <c r="M62" t="s">
        <v>44</v>
      </c>
      <c r="N62" t="s">
        <v>45</v>
      </c>
      <c r="O62" t="s">
        <v>46</v>
      </c>
      <c r="P62" t="s">
        <v>36</v>
      </c>
      <c r="Q62">
        <v>2</v>
      </c>
      <c r="R62">
        <v>0</v>
      </c>
      <c r="S62">
        <v>2</v>
      </c>
      <c r="T62" t="s">
        <v>37</v>
      </c>
      <c r="U62">
        <v>1.5</v>
      </c>
      <c r="V62">
        <v>2</v>
      </c>
      <c r="W62">
        <v>4</v>
      </c>
      <c r="X62">
        <v>2025</v>
      </c>
      <c r="Y62" t="s">
        <v>87</v>
      </c>
    </row>
    <row r="63" spans="1:25">
      <c r="A63" s="19">
        <v>46113</v>
      </c>
      <c r="B63" s="19">
        <v>45659</v>
      </c>
      <c r="C63" t="s">
        <v>104</v>
      </c>
      <c r="D63" t="s">
        <v>26</v>
      </c>
      <c r="E63" t="s">
        <v>105</v>
      </c>
      <c r="F63">
        <v>1040</v>
      </c>
      <c r="G63" t="s">
        <v>256</v>
      </c>
      <c r="H63" t="s">
        <v>29</v>
      </c>
      <c r="I63">
        <v>23</v>
      </c>
      <c r="J63" t="s">
        <v>82</v>
      </c>
      <c r="K63" t="s">
        <v>244</v>
      </c>
      <c r="L63" t="s">
        <v>32</v>
      </c>
      <c r="M63" t="s">
        <v>44</v>
      </c>
      <c r="N63" t="s">
        <v>45</v>
      </c>
      <c r="O63" t="s">
        <v>109</v>
      </c>
      <c r="P63">
        <v>3</v>
      </c>
      <c r="Q63">
        <v>4</v>
      </c>
      <c r="R63">
        <v>0</v>
      </c>
      <c r="S63">
        <v>5</v>
      </c>
      <c r="T63" t="s">
        <v>48</v>
      </c>
      <c r="U63">
        <v>1900</v>
      </c>
      <c r="V63">
        <v>1</v>
      </c>
      <c r="W63">
        <v>9</v>
      </c>
      <c r="X63">
        <v>2026</v>
      </c>
      <c r="Y63" t="s">
        <v>67</v>
      </c>
    </row>
    <row r="64" spans="1:25">
      <c r="A64" s="19">
        <v>45872</v>
      </c>
      <c r="B64" s="19">
        <v>45812</v>
      </c>
      <c r="C64" t="s">
        <v>240</v>
      </c>
      <c r="D64" t="s">
        <v>26</v>
      </c>
      <c r="E64" t="s">
        <v>129</v>
      </c>
      <c r="F64">
        <v>1048</v>
      </c>
      <c r="G64" t="s">
        <v>241</v>
      </c>
      <c r="H64" t="s">
        <v>29</v>
      </c>
      <c r="I64">
        <v>53</v>
      </c>
      <c r="J64" t="s">
        <v>53</v>
      </c>
      <c r="K64" t="s">
        <v>239</v>
      </c>
      <c r="L64" t="s">
        <v>43</v>
      </c>
      <c r="M64" t="s">
        <v>44</v>
      </c>
      <c r="N64" t="s">
        <v>72</v>
      </c>
      <c r="O64" t="s">
        <v>86</v>
      </c>
      <c r="P64" t="s">
        <v>36</v>
      </c>
      <c r="Q64">
        <v>3</v>
      </c>
      <c r="R64">
        <v>0</v>
      </c>
      <c r="S64">
        <v>0</v>
      </c>
      <c r="T64" t="s">
        <v>48</v>
      </c>
      <c r="U64">
        <v>1.9</v>
      </c>
      <c r="V64">
        <v>2</v>
      </c>
      <c r="W64">
        <v>3</v>
      </c>
      <c r="X64">
        <v>2025</v>
      </c>
      <c r="Y64" t="s">
        <v>103</v>
      </c>
    </row>
    <row r="65" spans="1:25">
      <c r="A65" s="19">
        <v>46235</v>
      </c>
      <c r="B65" s="19">
        <v>46328</v>
      </c>
      <c r="C65" t="s">
        <v>218</v>
      </c>
      <c r="D65" t="s">
        <v>26</v>
      </c>
      <c r="E65" t="s">
        <v>147</v>
      </c>
      <c r="F65">
        <v>1038</v>
      </c>
      <c r="G65" t="s">
        <v>293</v>
      </c>
      <c r="H65" t="s">
        <v>29</v>
      </c>
      <c r="I65">
        <v>31</v>
      </c>
      <c r="J65" t="s">
        <v>30</v>
      </c>
      <c r="K65" t="s">
        <v>286</v>
      </c>
      <c r="L65" t="s">
        <v>84</v>
      </c>
      <c r="M65" t="s">
        <v>44</v>
      </c>
      <c r="N65" t="s">
        <v>85</v>
      </c>
      <c r="O65" t="s">
        <v>35</v>
      </c>
      <c r="P65">
        <v>4</v>
      </c>
      <c r="Q65">
        <v>1</v>
      </c>
      <c r="R65">
        <v>0</v>
      </c>
      <c r="S65">
        <v>3</v>
      </c>
      <c r="T65" t="s">
        <v>48</v>
      </c>
      <c r="U65">
        <v>1500</v>
      </c>
      <c r="V65">
        <v>1</v>
      </c>
      <c r="W65">
        <v>4</v>
      </c>
      <c r="X65">
        <v>2026</v>
      </c>
      <c r="Y65" t="s">
        <v>103</v>
      </c>
    </row>
    <row r="66" spans="1:25">
      <c r="A66" s="19">
        <v>45780</v>
      </c>
      <c r="B66" s="19">
        <v>45693</v>
      </c>
      <c r="C66" t="s">
        <v>111</v>
      </c>
      <c r="D66" t="s">
        <v>26</v>
      </c>
      <c r="E66" t="s">
        <v>164</v>
      </c>
      <c r="F66">
        <v>1050</v>
      </c>
      <c r="G66" t="s">
        <v>243</v>
      </c>
      <c r="H66" t="s">
        <v>29</v>
      </c>
      <c r="I66">
        <v>60</v>
      </c>
      <c r="J66" t="s">
        <v>62</v>
      </c>
      <c r="K66" t="s">
        <v>244</v>
      </c>
      <c r="L66" t="s">
        <v>84</v>
      </c>
      <c r="M66" t="s">
        <v>44</v>
      </c>
      <c r="N66" t="s">
        <v>85</v>
      </c>
      <c r="O66" t="s">
        <v>57</v>
      </c>
      <c r="P66" t="s">
        <v>36</v>
      </c>
      <c r="Q66">
        <v>2</v>
      </c>
      <c r="R66">
        <v>0</v>
      </c>
      <c r="S66">
        <v>0</v>
      </c>
      <c r="T66" t="s">
        <v>48</v>
      </c>
      <c r="U66">
        <v>2.4</v>
      </c>
      <c r="V66">
        <v>2</v>
      </c>
      <c r="W66">
        <v>2</v>
      </c>
      <c r="X66">
        <v>2025</v>
      </c>
      <c r="Y66" t="s">
        <v>74</v>
      </c>
    </row>
    <row r="67" spans="1:25">
      <c r="A67" s="19">
        <v>46023</v>
      </c>
      <c r="B67" s="19">
        <v>46143</v>
      </c>
      <c r="C67" t="s">
        <v>104</v>
      </c>
      <c r="D67" t="s">
        <v>26</v>
      </c>
      <c r="E67" t="s">
        <v>105</v>
      </c>
      <c r="F67">
        <v>1001</v>
      </c>
      <c r="G67" t="s">
        <v>245</v>
      </c>
      <c r="H67" t="s">
        <v>29</v>
      </c>
      <c r="I67">
        <v>34</v>
      </c>
      <c r="J67" t="s">
        <v>30</v>
      </c>
      <c r="K67" t="s">
        <v>239</v>
      </c>
      <c r="L67" t="s">
        <v>84</v>
      </c>
      <c r="M67" t="s">
        <v>33</v>
      </c>
      <c r="N67" t="s">
        <v>45</v>
      </c>
      <c r="O67" t="s">
        <v>109</v>
      </c>
      <c r="P67">
        <v>4</v>
      </c>
      <c r="Q67">
        <v>4</v>
      </c>
      <c r="R67">
        <v>0</v>
      </c>
      <c r="S67">
        <v>6</v>
      </c>
      <c r="T67" t="s">
        <v>37</v>
      </c>
      <c r="U67">
        <v>2000</v>
      </c>
      <c r="V67">
        <v>2</v>
      </c>
      <c r="W67">
        <v>10</v>
      </c>
      <c r="X67">
        <v>2026</v>
      </c>
      <c r="Y67" t="s">
        <v>38</v>
      </c>
    </row>
    <row r="68" spans="1:25">
      <c r="A68" s="19">
        <v>46174</v>
      </c>
      <c r="B68" s="19">
        <v>46267</v>
      </c>
      <c r="C68" t="s">
        <v>138</v>
      </c>
      <c r="D68" t="s">
        <v>26</v>
      </c>
      <c r="E68" t="s">
        <v>227</v>
      </c>
      <c r="F68">
        <v>1036</v>
      </c>
      <c r="G68" t="s">
        <v>291</v>
      </c>
      <c r="H68" t="s">
        <v>29</v>
      </c>
      <c r="I68">
        <v>49</v>
      </c>
      <c r="J68" t="s">
        <v>53</v>
      </c>
      <c r="K68" t="s">
        <v>225</v>
      </c>
      <c r="L68" t="s">
        <v>43</v>
      </c>
      <c r="M68" t="s">
        <v>44</v>
      </c>
      <c r="N68" t="s">
        <v>45</v>
      </c>
      <c r="O68" t="s">
        <v>86</v>
      </c>
      <c r="P68">
        <v>4</v>
      </c>
      <c r="Q68">
        <v>2</v>
      </c>
      <c r="R68">
        <v>0</v>
      </c>
      <c r="S68">
        <v>2</v>
      </c>
      <c r="T68" t="s">
        <v>48</v>
      </c>
      <c r="U68">
        <v>2100</v>
      </c>
      <c r="V68">
        <v>1</v>
      </c>
      <c r="W68">
        <v>4</v>
      </c>
      <c r="X68">
        <v>2026</v>
      </c>
      <c r="Y68" t="s">
        <v>87</v>
      </c>
    </row>
    <row r="69" spans="1:25">
      <c r="A69" s="19">
        <v>46082</v>
      </c>
      <c r="B69" s="19">
        <v>46204</v>
      </c>
      <c r="C69" t="s">
        <v>248</v>
      </c>
      <c r="D69" t="s">
        <v>26</v>
      </c>
      <c r="E69" t="s">
        <v>97</v>
      </c>
      <c r="F69">
        <v>1003</v>
      </c>
      <c r="G69" t="s">
        <v>249</v>
      </c>
      <c r="H69" t="s">
        <v>29</v>
      </c>
      <c r="I69">
        <v>67</v>
      </c>
      <c r="J69" t="s">
        <v>62</v>
      </c>
      <c r="K69" t="s">
        <v>250</v>
      </c>
      <c r="L69" t="s">
        <v>55</v>
      </c>
      <c r="M69" t="s">
        <v>33</v>
      </c>
      <c r="N69" t="s">
        <v>34</v>
      </c>
      <c r="O69" t="s">
        <v>57</v>
      </c>
      <c r="P69">
        <v>5</v>
      </c>
      <c r="Q69">
        <v>5</v>
      </c>
      <c r="R69">
        <v>1</v>
      </c>
      <c r="S69">
        <v>3</v>
      </c>
      <c r="T69" t="s">
        <v>37</v>
      </c>
      <c r="U69">
        <v>5000</v>
      </c>
      <c r="V69">
        <v>3</v>
      </c>
      <c r="W69">
        <v>9</v>
      </c>
      <c r="X69">
        <v>2026</v>
      </c>
      <c r="Y69" t="s">
        <v>58</v>
      </c>
    </row>
    <row r="70" spans="1:25">
      <c r="A70" s="19">
        <v>46143</v>
      </c>
      <c r="B70" s="19">
        <v>46236</v>
      </c>
      <c r="C70" t="s">
        <v>104</v>
      </c>
      <c r="D70" t="s">
        <v>26</v>
      </c>
      <c r="E70" t="s">
        <v>105</v>
      </c>
      <c r="F70">
        <v>1035</v>
      </c>
      <c r="G70" t="s">
        <v>290</v>
      </c>
      <c r="H70" t="s">
        <v>29</v>
      </c>
      <c r="I70">
        <v>45</v>
      </c>
      <c r="J70" t="s">
        <v>30</v>
      </c>
      <c r="K70" t="s">
        <v>114</v>
      </c>
      <c r="L70" t="s">
        <v>32</v>
      </c>
      <c r="M70" t="s">
        <v>33</v>
      </c>
      <c r="N70" t="s">
        <v>34</v>
      </c>
      <c r="O70" t="s">
        <v>57</v>
      </c>
      <c r="P70">
        <v>5</v>
      </c>
      <c r="Q70">
        <v>4</v>
      </c>
      <c r="R70">
        <v>1</v>
      </c>
      <c r="S70">
        <v>1</v>
      </c>
      <c r="T70" t="s">
        <v>37</v>
      </c>
      <c r="U70">
        <v>4200</v>
      </c>
      <c r="V70">
        <v>2</v>
      </c>
      <c r="W70">
        <v>6</v>
      </c>
      <c r="X70">
        <v>2026</v>
      </c>
      <c r="Y70" t="s">
        <v>74</v>
      </c>
    </row>
    <row r="71" spans="1:25">
      <c r="A71" s="19">
        <v>46143</v>
      </c>
      <c r="B71" s="19">
        <v>46266</v>
      </c>
      <c r="C71" t="s">
        <v>79</v>
      </c>
      <c r="D71" t="s">
        <v>26</v>
      </c>
      <c r="E71" t="s">
        <v>252</v>
      </c>
      <c r="F71">
        <v>1005</v>
      </c>
      <c r="G71" t="s">
        <v>253</v>
      </c>
      <c r="H71" t="s">
        <v>29</v>
      </c>
      <c r="I71">
        <v>45</v>
      </c>
      <c r="J71" t="s">
        <v>30</v>
      </c>
      <c r="K71" t="s">
        <v>145</v>
      </c>
      <c r="L71" t="s">
        <v>43</v>
      </c>
      <c r="M71" t="s">
        <v>33</v>
      </c>
      <c r="N71" t="s">
        <v>45</v>
      </c>
      <c r="O71" t="s">
        <v>109</v>
      </c>
      <c r="P71">
        <v>3</v>
      </c>
      <c r="Q71">
        <v>3</v>
      </c>
      <c r="R71">
        <v>0</v>
      </c>
      <c r="S71">
        <v>6</v>
      </c>
      <c r="T71" t="s">
        <v>37</v>
      </c>
      <c r="U71">
        <v>3000</v>
      </c>
      <c r="V71">
        <v>1</v>
      </c>
      <c r="W71">
        <v>9</v>
      </c>
      <c r="X71">
        <v>2026</v>
      </c>
      <c r="Y71" t="s">
        <v>74</v>
      </c>
    </row>
    <row r="72" spans="1:25">
      <c r="A72" s="19">
        <v>46113</v>
      </c>
      <c r="B72" s="19">
        <v>46205</v>
      </c>
      <c r="C72" t="s">
        <v>111</v>
      </c>
      <c r="D72" t="s">
        <v>26</v>
      </c>
      <c r="E72" t="s">
        <v>164</v>
      </c>
      <c r="F72">
        <v>1034</v>
      </c>
      <c r="G72" t="s">
        <v>243</v>
      </c>
      <c r="H72" t="s">
        <v>29</v>
      </c>
      <c r="I72">
        <v>62</v>
      </c>
      <c r="J72" t="s">
        <v>62</v>
      </c>
      <c r="K72" t="s">
        <v>145</v>
      </c>
      <c r="L72" t="s">
        <v>55</v>
      </c>
      <c r="M72" t="s">
        <v>44</v>
      </c>
      <c r="N72" t="s">
        <v>85</v>
      </c>
      <c r="O72" t="s">
        <v>109</v>
      </c>
      <c r="P72">
        <v>3</v>
      </c>
      <c r="Q72">
        <v>1</v>
      </c>
      <c r="R72">
        <v>0</v>
      </c>
      <c r="S72">
        <v>4</v>
      </c>
      <c r="T72" t="s">
        <v>48</v>
      </c>
      <c r="U72">
        <v>1700</v>
      </c>
      <c r="V72">
        <v>1</v>
      </c>
      <c r="W72">
        <v>5</v>
      </c>
      <c r="X72">
        <v>2026</v>
      </c>
      <c r="Y72" t="s">
        <v>67</v>
      </c>
    </row>
    <row r="73" spans="1:25">
      <c r="A73" s="19">
        <v>46204</v>
      </c>
      <c r="B73" s="19">
        <v>46327</v>
      </c>
      <c r="C73" t="s">
        <v>138</v>
      </c>
      <c r="D73" t="s">
        <v>26</v>
      </c>
      <c r="E73" t="s">
        <v>227</v>
      </c>
      <c r="F73">
        <v>1007</v>
      </c>
      <c r="G73" t="s">
        <v>256</v>
      </c>
      <c r="H73" t="s">
        <v>29</v>
      </c>
      <c r="I73">
        <v>55</v>
      </c>
      <c r="J73" t="s">
        <v>53</v>
      </c>
      <c r="K73" t="s">
        <v>108</v>
      </c>
      <c r="L73" t="s">
        <v>55</v>
      </c>
      <c r="M73" t="s">
        <v>33</v>
      </c>
      <c r="N73" t="s">
        <v>34</v>
      </c>
      <c r="O73" t="s">
        <v>57</v>
      </c>
      <c r="P73">
        <v>2</v>
      </c>
      <c r="Q73">
        <v>5</v>
      </c>
      <c r="R73">
        <v>1</v>
      </c>
      <c r="S73">
        <v>3</v>
      </c>
      <c r="T73" t="s">
        <v>37</v>
      </c>
      <c r="U73">
        <v>4000</v>
      </c>
      <c r="V73">
        <v>2</v>
      </c>
      <c r="W73">
        <v>9</v>
      </c>
      <c r="X73">
        <v>2026</v>
      </c>
      <c r="Y73" t="s">
        <v>95</v>
      </c>
    </row>
    <row r="74" spans="1:25">
      <c r="A74" s="19">
        <v>46054</v>
      </c>
      <c r="B74" s="19">
        <v>46144</v>
      </c>
      <c r="C74" t="s">
        <v>240</v>
      </c>
      <c r="D74" t="s">
        <v>26</v>
      </c>
      <c r="E74" t="s">
        <v>129</v>
      </c>
      <c r="F74">
        <v>1032</v>
      </c>
      <c r="G74" t="s">
        <v>241</v>
      </c>
      <c r="H74" t="s">
        <v>29</v>
      </c>
      <c r="I74">
        <v>53</v>
      </c>
      <c r="J74" t="s">
        <v>53</v>
      </c>
      <c r="K74" t="s">
        <v>289</v>
      </c>
      <c r="L74" t="s">
        <v>43</v>
      </c>
      <c r="M74" t="s">
        <v>44</v>
      </c>
      <c r="N74" t="s">
        <v>45</v>
      </c>
      <c r="O74" t="s">
        <v>57</v>
      </c>
      <c r="P74">
        <v>2</v>
      </c>
      <c r="Q74">
        <v>2</v>
      </c>
      <c r="R74">
        <v>0</v>
      </c>
      <c r="S74">
        <v>2</v>
      </c>
      <c r="T74" t="s">
        <v>48</v>
      </c>
      <c r="U74">
        <v>2100</v>
      </c>
      <c r="V74">
        <v>1</v>
      </c>
      <c r="W74">
        <v>4</v>
      </c>
      <c r="X74">
        <v>2026</v>
      </c>
      <c r="Y74" t="s">
        <v>49</v>
      </c>
    </row>
    <row r="75" spans="1:25">
      <c r="A75" s="19">
        <v>46266</v>
      </c>
      <c r="B75" s="19">
        <v>45658</v>
      </c>
      <c r="C75" t="s">
        <v>258</v>
      </c>
      <c r="D75" t="s">
        <v>26</v>
      </c>
      <c r="E75" t="s">
        <v>259</v>
      </c>
      <c r="F75">
        <v>1009</v>
      </c>
      <c r="G75" t="s">
        <v>260</v>
      </c>
      <c r="H75" t="s">
        <v>29</v>
      </c>
      <c r="I75">
        <v>30</v>
      </c>
      <c r="J75" t="s">
        <v>107</v>
      </c>
      <c r="K75" t="s">
        <v>76</v>
      </c>
      <c r="L75" t="s">
        <v>43</v>
      </c>
      <c r="M75" t="s">
        <v>33</v>
      </c>
      <c r="N75" t="s">
        <v>45</v>
      </c>
      <c r="O75" t="s">
        <v>109</v>
      </c>
      <c r="P75">
        <v>3</v>
      </c>
      <c r="Q75">
        <v>4</v>
      </c>
      <c r="R75">
        <v>0</v>
      </c>
      <c r="S75">
        <v>6</v>
      </c>
      <c r="T75" t="s">
        <v>37</v>
      </c>
      <c r="U75">
        <v>2800</v>
      </c>
      <c r="V75">
        <v>1</v>
      </c>
      <c r="W75">
        <v>10</v>
      </c>
      <c r="X75">
        <v>2026</v>
      </c>
      <c r="Y75" t="s">
        <v>110</v>
      </c>
    </row>
    <row r="76" spans="1:25">
      <c r="A76" s="19">
        <v>46174</v>
      </c>
      <c r="B76" s="19">
        <v>46083</v>
      </c>
      <c r="C76" t="s">
        <v>150</v>
      </c>
      <c r="D76" t="s">
        <v>26</v>
      </c>
      <c r="E76" t="s">
        <v>147</v>
      </c>
      <c r="F76">
        <v>1030</v>
      </c>
      <c r="G76" t="s">
        <v>236</v>
      </c>
      <c r="H76" t="s">
        <v>29</v>
      </c>
      <c r="I76">
        <v>22</v>
      </c>
      <c r="J76" t="s">
        <v>82</v>
      </c>
      <c r="K76" t="s">
        <v>287</v>
      </c>
      <c r="L76" t="s">
        <v>84</v>
      </c>
      <c r="M76" t="s">
        <v>44</v>
      </c>
      <c r="N76" t="s">
        <v>34</v>
      </c>
      <c r="O76" t="s">
        <v>86</v>
      </c>
      <c r="P76">
        <v>4</v>
      </c>
      <c r="Q76">
        <v>1</v>
      </c>
      <c r="R76">
        <v>0</v>
      </c>
      <c r="S76">
        <v>6</v>
      </c>
      <c r="T76" t="s">
        <v>48</v>
      </c>
      <c r="U76">
        <v>1300</v>
      </c>
      <c r="V76">
        <v>1</v>
      </c>
      <c r="W76">
        <v>7</v>
      </c>
      <c r="X76">
        <v>2026</v>
      </c>
      <c r="Y76" t="s">
        <v>87</v>
      </c>
    </row>
    <row r="77" spans="1:25">
      <c r="A77" s="19">
        <v>46327</v>
      </c>
      <c r="B77" s="19">
        <v>45717</v>
      </c>
      <c r="C77" t="s">
        <v>174</v>
      </c>
      <c r="D77" t="s">
        <v>26</v>
      </c>
      <c r="E77" t="s">
        <v>264</v>
      </c>
      <c r="F77">
        <v>1011</v>
      </c>
      <c r="G77" t="s">
        <v>265</v>
      </c>
      <c r="H77" t="s">
        <v>29</v>
      </c>
      <c r="I77">
        <v>72</v>
      </c>
      <c r="J77" t="s">
        <v>62</v>
      </c>
      <c r="K77" t="s">
        <v>114</v>
      </c>
      <c r="L77" t="s">
        <v>55</v>
      </c>
      <c r="M77" t="s">
        <v>33</v>
      </c>
      <c r="N77" t="s">
        <v>34</v>
      </c>
      <c r="O77" t="s">
        <v>86</v>
      </c>
      <c r="P77">
        <v>4</v>
      </c>
      <c r="Q77">
        <v>5</v>
      </c>
      <c r="R77">
        <v>0</v>
      </c>
      <c r="S77">
        <v>3</v>
      </c>
      <c r="T77" t="s">
        <v>37</v>
      </c>
      <c r="U77">
        <v>6000</v>
      </c>
      <c r="V77">
        <v>2</v>
      </c>
      <c r="W77">
        <v>8</v>
      </c>
      <c r="X77">
        <v>2026</v>
      </c>
      <c r="Y77" t="s">
        <v>127</v>
      </c>
    </row>
    <row r="78" spans="1:25">
      <c r="A78" s="19">
        <v>46143</v>
      </c>
      <c r="B78" s="19">
        <v>46055</v>
      </c>
      <c r="C78" t="s">
        <v>233</v>
      </c>
      <c r="D78" t="s">
        <v>26</v>
      </c>
      <c r="E78" t="s">
        <v>234</v>
      </c>
      <c r="F78">
        <v>1029</v>
      </c>
      <c r="G78" t="s">
        <v>235</v>
      </c>
      <c r="H78" t="s">
        <v>29</v>
      </c>
      <c r="I78">
        <v>51</v>
      </c>
      <c r="J78" t="s">
        <v>53</v>
      </c>
      <c r="K78" t="s">
        <v>149</v>
      </c>
      <c r="L78" t="s">
        <v>93</v>
      </c>
      <c r="M78" t="s">
        <v>33</v>
      </c>
      <c r="N78" t="s">
        <v>85</v>
      </c>
      <c r="O78" t="s">
        <v>57</v>
      </c>
      <c r="P78">
        <v>5</v>
      </c>
      <c r="Q78">
        <v>5</v>
      </c>
      <c r="R78">
        <v>1</v>
      </c>
      <c r="S78">
        <v>3</v>
      </c>
      <c r="T78" t="s">
        <v>37</v>
      </c>
      <c r="U78">
        <v>5200</v>
      </c>
      <c r="V78">
        <v>3</v>
      </c>
      <c r="W78">
        <v>9</v>
      </c>
      <c r="X78">
        <v>2026</v>
      </c>
      <c r="Y78" t="s">
        <v>74</v>
      </c>
    </row>
    <row r="79" spans="1:25">
      <c r="A79" s="19">
        <v>45658</v>
      </c>
      <c r="B79" s="19">
        <v>45778</v>
      </c>
      <c r="C79" t="s">
        <v>268</v>
      </c>
      <c r="D79" t="s">
        <v>26</v>
      </c>
      <c r="E79" t="s">
        <v>51</v>
      </c>
      <c r="F79">
        <v>1013</v>
      </c>
      <c r="G79" t="s">
        <v>269</v>
      </c>
      <c r="H79" t="s">
        <v>29</v>
      </c>
      <c r="I79">
        <v>48</v>
      </c>
      <c r="J79" t="s">
        <v>53</v>
      </c>
      <c r="K79" t="s">
        <v>131</v>
      </c>
      <c r="L79" t="s">
        <v>32</v>
      </c>
      <c r="M79" t="s">
        <v>33</v>
      </c>
      <c r="N79" t="s">
        <v>45</v>
      </c>
      <c r="O79" t="s">
        <v>109</v>
      </c>
      <c r="P79">
        <v>3</v>
      </c>
      <c r="Q79">
        <v>3</v>
      </c>
      <c r="R79">
        <v>0</v>
      </c>
      <c r="S79">
        <v>4</v>
      </c>
      <c r="T79" t="s">
        <v>37</v>
      </c>
      <c r="U79">
        <v>3500</v>
      </c>
      <c r="V79">
        <v>1</v>
      </c>
      <c r="W79">
        <v>7</v>
      </c>
      <c r="X79">
        <v>2025</v>
      </c>
      <c r="Y79" t="s">
        <v>38</v>
      </c>
    </row>
    <row r="80" spans="1:25">
      <c r="A80" s="19">
        <v>46113</v>
      </c>
      <c r="B80" s="19">
        <v>46024</v>
      </c>
      <c r="C80" t="s">
        <v>230</v>
      </c>
      <c r="D80" t="s">
        <v>26</v>
      </c>
      <c r="E80" t="s">
        <v>202</v>
      </c>
      <c r="F80">
        <v>1028</v>
      </c>
      <c r="G80" t="s">
        <v>231</v>
      </c>
      <c r="H80" t="s">
        <v>29</v>
      </c>
      <c r="I80">
        <v>38</v>
      </c>
      <c r="J80" t="s">
        <v>30</v>
      </c>
      <c r="K80" t="s">
        <v>286</v>
      </c>
      <c r="L80" t="s">
        <v>32</v>
      </c>
      <c r="M80" t="s">
        <v>44</v>
      </c>
      <c r="N80" t="s">
        <v>45</v>
      </c>
      <c r="O80" t="s">
        <v>35</v>
      </c>
      <c r="P80">
        <v>4</v>
      </c>
      <c r="Q80">
        <v>1</v>
      </c>
      <c r="R80">
        <v>0</v>
      </c>
      <c r="S80">
        <v>5</v>
      </c>
      <c r="T80" t="s">
        <v>48</v>
      </c>
      <c r="U80">
        <v>1700</v>
      </c>
      <c r="V80">
        <v>1</v>
      </c>
      <c r="W80">
        <v>6</v>
      </c>
      <c r="X80">
        <v>2026</v>
      </c>
      <c r="Y80" t="s">
        <v>67</v>
      </c>
    </row>
    <row r="81" spans="1:25">
      <c r="A81" s="19">
        <v>45717</v>
      </c>
      <c r="B81" s="19">
        <v>45839</v>
      </c>
      <c r="C81" t="s">
        <v>159</v>
      </c>
      <c r="D81" t="s">
        <v>26</v>
      </c>
      <c r="E81" t="s">
        <v>160</v>
      </c>
      <c r="F81">
        <v>1015</v>
      </c>
      <c r="G81" t="s">
        <v>271</v>
      </c>
      <c r="H81" t="s">
        <v>29</v>
      </c>
      <c r="I81">
        <v>65</v>
      </c>
      <c r="J81" t="s">
        <v>62</v>
      </c>
      <c r="K81" t="s">
        <v>100</v>
      </c>
      <c r="L81" t="s">
        <v>55</v>
      </c>
      <c r="M81" t="s">
        <v>33</v>
      </c>
      <c r="N81" t="s">
        <v>34</v>
      </c>
      <c r="O81" t="s">
        <v>57</v>
      </c>
      <c r="P81">
        <v>3</v>
      </c>
      <c r="Q81">
        <v>4</v>
      </c>
      <c r="R81">
        <v>0</v>
      </c>
      <c r="S81">
        <v>1</v>
      </c>
      <c r="T81" t="s">
        <v>37</v>
      </c>
      <c r="U81">
        <v>4800</v>
      </c>
      <c r="V81">
        <v>2</v>
      </c>
      <c r="W81">
        <v>5</v>
      </c>
      <c r="X81">
        <v>2025</v>
      </c>
      <c r="Y81" t="s">
        <v>58</v>
      </c>
    </row>
    <row r="82" spans="1:25">
      <c r="A82" s="19">
        <v>46023</v>
      </c>
      <c r="B82" s="19">
        <v>46143</v>
      </c>
      <c r="C82" t="s">
        <v>223</v>
      </c>
      <c r="D82" t="s">
        <v>26</v>
      </c>
      <c r="E82" t="s">
        <v>186</v>
      </c>
      <c r="F82">
        <v>1025</v>
      </c>
      <c r="G82" t="s">
        <v>180</v>
      </c>
      <c r="H82" t="s">
        <v>29</v>
      </c>
      <c r="I82">
        <v>29</v>
      </c>
      <c r="J82" t="s">
        <v>107</v>
      </c>
      <c r="K82" t="s">
        <v>225</v>
      </c>
      <c r="L82" t="s">
        <v>84</v>
      </c>
      <c r="M82" t="s">
        <v>33</v>
      </c>
      <c r="N82" t="s">
        <v>45</v>
      </c>
      <c r="O82" t="s">
        <v>57</v>
      </c>
      <c r="P82">
        <v>5</v>
      </c>
      <c r="Q82">
        <v>5</v>
      </c>
      <c r="R82">
        <v>1</v>
      </c>
      <c r="S82">
        <v>3</v>
      </c>
      <c r="T82" t="s">
        <v>37</v>
      </c>
      <c r="U82">
        <v>4500</v>
      </c>
      <c r="V82">
        <v>2</v>
      </c>
      <c r="W82">
        <v>9</v>
      </c>
      <c r="X82">
        <v>2026</v>
      </c>
      <c r="Y82" t="s">
        <v>38</v>
      </c>
    </row>
    <row r="83" spans="1:25">
      <c r="A83" s="19">
        <v>45778</v>
      </c>
      <c r="B83" s="19">
        <v>45901</v>
      </c>
      <c r="C83" t="s">
        <v>167</v>
      </c>
      <c r="D83" t="s">
        <v>26</v>
      </c>
      <c r="E83" t="s">
        <v>168</v>
      </c>
      <c r="F83">
        <v>1017</v>
      </c>
      <c r="G83" t="s">
        <v>253</v>
      </c>
      <c r="H83" t="s">
        <v>29</v>
      </c>
      <c r="I83">
        <v>56</v>
      </c>
      <c r="J83" t="s">
        <v>53</v>
      </c>
      <c r="K83" t="s">
        <v>225</v>
      </c>
      <c r="L83" t="s">
        <v>43</v>
      </c>
      <c r="M83" t="s">
        <v>33</v>
      </c>
      <c r="N83" t="s">
        <v>45</v>
      </c>
      <c r="O83" t="s">
        <v>109</v>
      </c>
      <c r="P83">
        <v>4</v>
      </c>
      <c r="Q83">
        <v>5</v>
      </c>
      <c r="R83">
        <v>1</v>
      </c>
      <c r="S83">
        <v>4</v>
      </c>
      <c r="T83" t="s">
        <v>37</v>
      </c>
      <c r="U83">
        <v>4500</v>
      </c>
      <c r="V83">
        <v>2</v>
      </c>
      <c r="W83">
        <v>10</v>
      </c>
      <c r="X83">
        <v>2025</v>
      </c>
      <c r="Y83" t="s">
        <v>74</v>
      </c>
    </row>
    <row r="84" spans="1:25">
      <c r="A84" s="19">
        <v>45992</v>
      </c>
      <c r="B84" s="19">
        <v>46113</v>
      </c>
      <c r="C84" t="s">
        <v>218</v>
      </c>
      <c r="D84" t="s">
        <v>26</v>
      </c>
      <c r="E84" t="s">
        <v>147</v>
      </c>
      <c r="F84">
        <v>1024</v>
      </c>
      <c r="G84" t="s">
        <v>158</v>
      </c>
      <c r="H84" t="s">
        <v>29</v>
      </c>
      <c r="I84">
        <v>24</v>
      </c>
      <c r="J84" t="s">
        <v>82</v>
      </c>
      <c r="K84" t="s">
        <v>283</v>
      </c>
      <c r="L84" t="s">
        <v>55</v>
      </c>
      <c r="M84" t="s">
        <v>44</v>
      </c>
      <c r="N84" t="s">
        <v>34</v>
      </c>
      <c r="O84" t="s">
        <v>35</v>
      </c>
      <c r="P84">
        <v>3</v>
      </c>
      <c r="Q84">
        <v>2</v>
      </c>
      <c r="R84">
        <v>0</v>
      </c>
      <c r="S84">
        <v>2</v>
      </c>
      <c r="T84" t="s">
        <v>48</v>
      </c>
      <c r="U84">
        <v>1900</v>
      </c>
      <c r="V84">
        <v>1</v>
      </c>
      <c r="W84">
        <v>4</v>
      </c>
      <c r="X84">
        <v>2025</v>
      </c>
      <c r="Y84" t="s">
        <v>133</v>
      </c>
    </row>
    <row r="85" spans="1:25">
      <c r="A85" s="19">
        <v>45839</v>
      </c>
      <c r="B85" s="19">
        <v>45962</v>
      </c>
      <c r="C85" t="s">
        <v>177</v>
      </c>
      <c r="D85" t="s">
        <v>26</v>
      </c>
      <c r="E85" t="s">
        <v>112</v>
      </c>
      <c r="F85">
        <v>1019</v>
      </c>
      <c r="G85" t="s">
        <v>161</v>
      </c>
      <c r="H85" t="s">
        <v>29</v>
      </c>
      <c r="I85">
        <v>46</v>
      </c>
      <c r="J85" t="s">
        <v>53</v>
      </c>
      <c r="K85" t="s">
        <v>209</v>
      </c>
      <c r="L85" t="s">
        <v>55</v>
      </c>
      <c r="M85" t="s">
        <v>33</v>
      </c>
      <c r="N85" t="s">
        <v>34</v>
      </c>
      <c r="O85" t="s">
        <v>86</v>
      </c>
      <c r="P85">
        <v>3</v>
      </c>
      <c r="Q85">
        <v>4</v>
      </c>
      <c r="R85">
        <v>0</v>
      </c>
      <c r="S85">
        <v>1</v>
      </c>
      <c r="T85" t="s">
        <v>37</v>
      </c>
      <c r="U85">
        <v>3700</v>
      </c>
      <c r="V85">
        <v>1</v>
      </c>
      <c r="W85">
        <v>5</v>
      </c>
      <c r="X85">
        <v>2025</v>
      </c>
      <c r="Y85" t="s">
        <v>95</v>
      </c>
    </row>
    <row r="86" spans="1:25">
      <c r="A86" s="19">
        <v>45962</v>
      </c>
      <c r="B86" s="19">
        <v>46082</v>
      </c>
      <c r="C86" t="s">
        <v>281</v>
      </c>
      <c r="D86" t="s">
        <v>26</v>
      </c>
      <c r="E86" t="s">
        <v>221</v>
      </c>
      <c r="F86">
        <v>1023</v>
      </c>
      <c r="G86" t="s">
        <v>282</v>
      </c>
      <c r="H86" t="s">
        <v>29</v>
      </c>
      <c r="I86">
        <v>11</v>
      </c>
      <c r="J86" t="s">
        <v>99</v>
      </c>
      <c r="K86" t="s">
        <v>92</v>
      </c>
      <c r="L86" t="s">
        <v>32</v>
      </c>
      <c r="M86" t="s">
        <v>33</v>
      </c>
      <c r="N86" t="s">
        <v>85</v>
      </c>
      <c r="O86" t="s">
        <v>109</v>
      </c>
      <c r="P86">
        <v>4</v>
      </c>
      <c r="Q86">
        <v>3</v>
      </c>
      <c r="R86">
        <v>0</v>
      </c>
      <c r="S86">
        <v>1</v>
      </c>
      <c r="T86" t="s">
        <v>37</v>
      </c>
      <c r="U86">
        <v>2800</v>
      </c>
      <c r="V86">
        <v>1</v>
      </c>
      <c r="W86">
        <v>4</v>
      </c>
      <c r="X86">
        <v>2025</v>
      </c>
      <c r="Y86" t="s">
        <v>127</v>
      </c>
    </row>
    <row r="87" spans="1:25">
      <c r="A87" s="19">
        <v>45901</v>
      </c>
      <c r="B87" s="19">
        <v>46023</v>
      </c>
      <c r="C87" t="s">
        <v>276</v>
      </c>
      <c r="D87" t="s">
        <v>26</v>
      </c>
      <c r="E87" t="s">
        <v>123</v>
      </c>
      <c r="F87">
        <v>1021</v>
      </c>
      <c r="G87" t="s">
        <v>277</v>
      </c>
      <c r="H87" t="s">
        <v>29</v>
      </c>
      <c r="I87">
        <v>60</v>
      </c>
      <c r="J87" t="s">
        <v>62</v>
      </c>
      <c r="K87" t="s">
        <v>278</v>
      </c>
      <c r="L87" t="s">
        <v>43</v>
      </c>
      <c r="M87" t="s">
        <v>33</v>
      </c>
      <c r="N87" t="s">
        <v>34</v>
      </c>
      <c r="O87" t="s">
        <v>57</v>
      </c>
      <c r="P87">
        <v>5</v>
      </c>
      <c r="Q87">
        <v>5</v>
      </c>
      <c r="R87">
        <v>1</v>
      </c>
      <c r="S87">
        <v>5</v>
      </c>
      <c r="T87" t="s">
        <v>37</v>
      </c>
      <c r="U87">
        <v>6000</v>
      </c>
      <c r="V87">
        <v>3</v>
      </c>
      <c r="W87">
        <v>11</v>
      </c>
      <c r="X87">
        <v>2025</v>
      </c>
      <c r="Y87" t="s">
        <v>110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S58"/>
  <sheetViews>
    <sheetView showGridLines="0" topLeftCell="B1" zoomScale="80" zoomScaleNormal="80" workbookViewId="0">
      <selection activeCell="Q17" sqref="Q17:S23"/>
    </sheetView>
  </sheetViews>
  <sheetFormatPr defaultRowHeight="14.25"/>
  <cols>
    <col min="1" max="1" width="20" customWidth="1"/>
    <col min="2" max="2" width="7.25" customWidth="1"/>
    <col min="3" max="3" width="12.125" customWidth="1"/>
    <col min="4" max="4" width="13.125" customWidth="1"/>
    <col min="5" max="5" width="12.75" customWidth="1"/>
    <col min="6" max="6" width="13.375" customWidth="1"/>
    <col min="7" max="7" width="12.375" customWidth="1"/>
    <col min="8" max="8" width="13.625" customWidth="1"/>
    <col min="9" max="9" width="13.5" customWidth="1"/>
    <col min="10" max="10" width="13.75" customWidth="1"/>
    <col min="11" max="11" width="1.375" customWidth="1"/>
    <col min="12" max="12" width="11.625" customWidth="1"/>
    <col min="13" max="13" width="13.5" customWidth="1"/>
    <col min="14" max="14" width="12.875" customWidth="1"/>
    <col min="17" max="17" width="11.25" customWidth="1"/>
    <col min="18" max="18" width="11.125" customWidth="1"/>
    <col min="19" max="19" width="9.5" customWidth="1"/>
  </cols>
  <sheetData>
    <row r="2" spans="1:19" s="10" customFormat="1" ht="15">
      <c r="A2" s="8" t="s">
        <v>301</v>
      </c>
      <c r="B2" s="9"/>
      <c r="C2" s="8" t="s">
        <v>307</v>
      </c>
      <c r="E2" s="10" t="s">
        <v>313</v>
      </c>
      <c r="G2" s="10" t="s">
        <v>314</v>
      </c>
      <c r="I2" s="10" t="s">
        <v>315</v>
      </c>
      <c r="N2" s="10" t="s">
        <v>317</v>
      </c>
      <c r="Q2" s="10" t="s">
        <v>319</v>
      </c>
    </row>
    <row r="3" spans="1:19" ht="15">
      <c r="A3" s="12" t="s">
        <v>300</v>
      </c>
      <c r="C3" s="12" t="s">
        <v>308</v>
      </c>
      <c r="D3" s="12" t="s">
        <v>302</v>
      </c>
      <c r="E3" s="5" t="s">
        <v>308</v>
      </c>
      <c r="F3" s="12" t="s">
        <v>302</v>
      </c>
      <c r="G3" s="5" t="s">
        <v>308</v>
      </c>
      <c r="H3" s="12" t="s">
        <v>302</v>
      </c>
      <c r="I3" s="5" t="s">
        <v>308</v>
      </c>
      <c r="J3" s="12" t="s">
        <v>302</v>
      </c>
      <c r="L3" s="13" t="s">
        <v>316</v>
      </c>
      <c r="M3" s="13" t="s">
        <v>22</v>
      </c>
      <c r="N3" s="5" t="s">
        <v>308</v>
      </c>
      <c r="O3" s="12" t="s">
        <v>318</v>
      </c>
      <c r="Q3" s="5" t="s">
        <v>308</v>
      </c>
      <c r="R3" s="12" t="s">
        <v>320</v>
      </c>
    </row>
    <row r="4" spans="1:19">
      <c r="A4" s="6" t="s">
        <v>302</v>
      </c>
      <c r="B4" s="4">
        <v>13</v>
      </c>
      <c r="C4" s="6" t="s">
        <v>29</v>
      </c>
      <c r="D4" s="4">
        <v>13</v>
      </c>
      <c r="E4" s="6" t="s">
        <v>84</v>
      </c>
      <c r="F4" s="4">
        <v>13</v>
      </c>
      <c r="G4" s="6" t="s">
        <v>85</v>
      </c>
      <c r="H4" s="4">
        <v>13</v>
      </c>
      <c r="I4" s="6" t="s">
        <v>120</v>
      </c>
      <c r="J4" s="4">
        <v>13</v>
      </c>
      <c r="L4" s="6" t="s">
        <v>83</v>
      </c>
      <c r="M4" t="e">
        <f>GETPIVOTDATA("Total Patients",$I$3,"City",L4)</f>
        <v>#REF!</v>
      </c>
      <c r="N4" s="6" t="s">
        <v>85</v>
      </c>
      <c r="O4" s="4">
        <v>10</v>
      </c>
      <c r="Q4" s="6" t="s">
        <v>30</v>
      </c>
      <c r="R4" s="4">
        <v>1</v>
      </c>
    </row>
    <row r="5" spans="1:19">
      <c r="A5" s="6" t="s">
        <v>303</v>
      </c>
      <c r="B5" s="4">
        <v>3</v>
      </c>
      <c r="C5" s="14" t="s">
        <v>309</v>
      </c>
      <c r="D5" s="15">
        <v>13</v>
      </c>
      <c r="I5" s="14" t="s">
        <v>309</v>
      </c>
      <c r="J5" s="15">
        <v>13</v>
      </c>
      <c r="L5" s="6" t="s">
        <v>288</v>
      </c>
      <c r="M5" t="e">
        <f t="shared" ref="M5:M57" si="0">GETPIVOTDATA("Total Patients",$I$3,"City",L5)</f>
        <v>#REF!</v>
      </c>
      <c r="Q5" s="14" t="s">
        <v>309</v>
      </c>
      <c r="R5" s="15">
        <v>1</v>
      </c>
    </row>
    <row r="6" spans="1:19">
      <c r="A6" s="6" t="s">
        <v>305</v>
      </c>
      <c r="B6" s="4">
        <v>10</v>
      </c>
      <c r="L6" s="6" t="s">
        <v>114</v>
      </c>
      <c r="M6" t="e">
        <f t="shared" si="0"/>
        <v>#REF!</v>
      </c>
    </row>
    <row r="7" spans="1:19">
      <c r="A7" s="6" t="s">
        <v>304</v>
      </c>
      <c r="B7" s="4">
        <v>2</v>
      </c>
      <c r="L7" s="6" t="s">
        <v>181</v>
      </c>
      <c r="M7" t="e">
        <f t="shared" si="0"/>
        <v>#REF!</v>
      </c>
    </row>
    <row r="8" spans="1:19">
      <c r="A8" s="6" t="s">
        <v>306</v>
      </c>
      <c r="B8" s="20">
        <v>0</v>
      </c>
      <c r="L8" s="6" t="s">
        <v>149</v>
      </c>
      <c r="M8" t="e">
        <f t="shared" si="0"/>
        <v>#REF!</v>
      </c>
    </row>
    <row r="9" spans="1:19">
      <c r="L9" s="6" t="s">
        <v>298</v>
      </c>
      <c r="M9" t="e">
        <f t="shared" si="0"/>
        <v>#REF!</v>
      </c>
    </row>
    <row r="10" spans="1:19">
      <c r="L10" s="6" t="s">
        <v>239</v>
      </c>
      <c r="M10" t="e">
        <f t="shared" si="0"/>
        <v>#REF!</v>
      </c>
    </row>
    <row r="11" spans="1:19">
      <c r="L11" s="6" t="s">
        <v>131</v>
      </c>
      <c r="M11" t="e">
        <f t="shared" si="0"/>
        <v>#REF!</v>
      </c>
    </row>
    <row r="12" spans="1:19">
      <c r="L12" s="6" t="s">
        <v>250</v>
      </c>
      <c r="M12" t="e">
        <f t="shared" si="0"/>
        <v>#REF!</v>
      </c>
    </row>
    <row r="13" spans="1:19">
      <c r="L13" s="6" t="s">
        <v>244</v>
      </c>
      <c r="M13" t="e">
        <f t="shared" si="0"/>
        <v>#REF!</v>
      </c>
    </row>
    <row r="14" spans="1:19">
      <c r="L14" s="6" t="s">
        <v>295</v>
      </c>
      <c r="M14" t="e">
        <f t="shared" si="0"/>
        <v>#REF!</v>
      </c>
    </row>
    <row r="15" spans="1:19">
      <c r="C15">
        <f>IFERROR(GETPIVOTDATA("Total Patients",$C$3,"Gender","Male"),0)</f>
        <v>13</v>
      </c>
      <c r="D15">
        <f>IFERROR(GETPIVOTDATA("Total Patients",$C$3,"Gender","Female"),0)</f>
        <v>0</v>
      </c>
      <c r="L15" s="6" t="s">
        <v>209</v>
      </c>
      <c r="M15" t="e">
        <f t="shared" si="0"/>
        <v>#REF!</v>
      </c>
    </row>
    <row r="16" spans="1:19" s="7" customFormat="1" ht="15">
      <c r="C16" s="11" t="s">
        <v>29</v>
      </c>
      <c r="D16" s="11" t="s">
        <v>41</v>
      </c>
      <c r="E16" s="13" t="s">
        <v>308</v>
      </c>
      <c r="F16" s="13" t="s">
        <v>22</v>
      </c>
      <c r="G16" s="13" t="s">
        <v>308</v>
      </c>
      <c r="H16" s="11" t="s">
        <v>22</v>
      </c>
      <c r="I16"/>
      <c r="J16"/>
      <c r="L16" s="6" t="s">
        <v>92</v>
      </c>
      <c r="M16" t="e">
        <f t="shared" si="0"/>
        <v>#REF!</v>
      </c>
      <c r="N16" s="11" t="s">
        <v>308</v>
      </c>
      <c r="O16" s="11" t="s">
        <v>18</v>
      </c>
      <c r="Q16" s="11" t="s">
        <v>316</v>
      </c>
      <c r="R16" s="11" t="s">
        <v>321</v>
      </c>
      <c r="S16" s="11" t="s">
        <v>322</v>
      </c>
    </row>
    <row r="17" spans="1:19">
      <c r="A17" s="6"/>
      <c r="B17" s="4"/>
      <c r="C17" s="16">
        <f>IFERROR(GETPIVOTDATA("Total Patients",$C$3,"Gender",C5)/SUM(C15:D15),0)</f>
        <v>0</v>
      </c>
      <c r="D17" s="16">
        <f>IFERROR(GETPIVOTDATA("Total Patients",$C$3,"Gender",D16)/SUM(C15:D15),0)</f>
        <v>0</v>
      </c>
      <c r="E17" t="str">
        <f>IF(E4="","",E4)</f>
        <v>Emergency</v>
      </c>
      <c r="F17">
        <f>IFERROR(GETPIVOTDATA("Total Patients",$E$3,"Division",E17),"")</f>
        <v>13</v>
      </c>
      <c r="G17" s="6" t="s">
        <v>45</v>
      </c>
      <c r="H17" t="e">
        <f>GETPIVOTDATA("Total Patients",$G$3,"Surgical Specialty",G17)</f>
        <v>#REF!</v>
      </c>
      <c r="L17" s="6" t="s">
        <v>273</v>
      </c>
      <c r="M17" t="e">
        <f t="shared" si="0"/>
        <v>#REF!</v>
      </c>
      <c r="N17" t="str">
        <f>N4</f>
        <v>Trauma</v>
      </c>
      <c r="O17">
        <f>GETPIVOTDATA("Re-admit Patients",$N$3,"Surgical Specialty",N17)</f>
        <v>10</v>
      </c>
      <c r="Q17" s="6" t="s">
        <v>99</v>
      </c>
      <c r="R17" t="e">
        <f>GETPIVOTDATA("LOS Bucket (Length of Stay)",$Q$3,"Age Group",Q17)</f>
        <v>#REF!</v>
      </c>
      <c r="S17" t="e">
        <f>R17</f>
        <v>#REF!</v>
      </c>
    </row>
    <row r="18" spans="1:19">
      <c r="A18" s="6"/>
      <c r="B18" s="4"/>
      <c r="C18" s="17">
        <f>100%-C17</f>
        <v>1</v>
      </c>
      <c r="D18" s="17">
        <f>100%-D17</f>
        <v>1</v>
      </c>
      <c r="E18" t="str">
        <f t="shared" ref="E18:E24" si="1">IF(E5="","",E5)</f>
        <v/>
      </c>
      <c r="F18" t="str">
        <f t="shared" ref="F18:F23" si="2">IFERROR(GETPIVOTDATA("Total Patients",$E$3,"Division",E18),"")</f>
        <v/>
      </c>
      <c r="G18" s="6" t="s">
        <v>34</v>
      </c>
      <c r="H18" t="e">
        <f t="shared" ref="H18:H23" si="3">GETPIVOTDATA("Total Patients",$G$3,"Surgical Specialty",G18)</f>
        <v>#REF!</v>
      </c>
      <c r="L18" s="6" t="s">
        <v>162</v>
      </c>
      <c r="M18" t="e">
        <f t="shared" si="0"/>
        <v>#REF!</v>
      </c>
      <c r="N18">
        <f t="shared" ref="N18:N23" si="4">N5</f>
        <v>0</v>
      </c>
      <c r="O18" t="e">
        <f t="shared" ref="O18:O23" si="5">GETPIVOTDATA("Re-admit Patients",$N$3,"Surgical Specialty",N18)</f>
        <v>#REF!</v>
      </c>
      <c r="Q18" s="6" t="s">
        <v>91</v>
      </c>
      <c r="R18" t="e">
        <f t="shared" ref="R18:R23" si="6">GETPIVOTDATA("LOS Bucket (Length of Stay)",$Q$3,"Age Group",Q18)</f>
        <v>#REF!</v>
      </c>
      <c r="S18" t="e">
        <f t="shared" ref="S18:S23" si="7">R18</f>
        <v>#REF!</v>
      </c>
    </row>
    <row r="19" spans="1:19">
      <c r="A19" s="6"/>
      <c r="B19" s="4"/>
      <c r="E19" t="str">
        <f t="shared" si="1"/>
        <v/>
      </c>
      <c r="F19" t="str">
        <f t="shared" si="2"/>
        <v/>
      </c>
      <c r="G19" s="6" t="s">
        <v>85</v>
      </c>
      <c r="H19">
        <f t="shared" si="3"/>
        <v>13</v>
      </c>
      <c r="L19" s="6" t="s">
        <v>296</v>
      </c>
      <c r="M19" t="e">
        <f t="shared" si="0"/>
        <v>#REF!</v>
      </c>
      <c r="N19">
        <f t="shared" si="4"/>
        <v>0</v>
      </c>
      <c r="O19" t="e">
        <f t="shared" si="5"/>
        <v>#REF!</v>
      </c>
      <c r="Q19" s="6" t="s">
        <v>82</v>
      </c>
      <c r="R19" t="e">
        <f t="shared" si="6"/>
        <v>#REF!</v>
      </c>
      <c r="S19" t="e">
        <f t="shared" si="7"/>
        <v>#REF!</v>
      </c>
    </row>
    <row r="20" spans="1:19">
      <c r="A20" s="6"/>
      <c r="B20" s="4"/>
      <c r="E20" t="str">
        <f t="shared" si="1"/>
        <v/>
      </c>
      <c r="F20" t="str">
        <f t="shared" si="2"/>
        <v/>
      </c>
      <c r="G20" s="6" t="s">
        <v>56</v>
      </c>
      <c r="H20" t="e">
        <f t="shared" si="3"/>
        <v>#REF!</v>
      </c>
      <c r="L20" s="6" t="s">
        <v>166</v>
      </c>
      <c r="M20" t="e">
        <f t="shared" si="0"/>
        <v>#REF!</v>
      </c>
      <c r="N20">
        <f t="shared" si="4"/>
        <v>0</v>
      </c>
      <c r="O20" t="e">
        <f t="shared" si="5"/>
        <v>#REF!</v>
      </c>
      <c r="Q20" s="6" t="s">
        <v>107</v>
      </c>
      <c r="R20" t="e">
        <f t="shared" si="6"/>
        <v>#REF!</v>
      </c>
      <c r="S20" t="e">
        <f t="shared" si="7"/>
        <v>#REF!</v>
      </c>
    </row>
    <row r="21" spans="1:19" s="10" customFormat="1" ht="15">
      <c r="A21" s="8"/>
      <c r="B21" s="9"/>
      <c r="C21" s="10" t="s">
        <v>310</v>
      </c>
      <c r="E21" t="str">
        <f t="shared" si="1"/>
        <v/>
      </c>
      <c r="F21" t="str">
        <f t="shared" si="2"/>
        <v/>
      </c>
      <c r="G21" s="6" t="s">
        <v>64</v>
      </c>
      <c r="H21" t="e">
        <f t="shared" si="3"/>
        <v>#REF!</v>
      </c>
      <c r="I21"/>
      <c r="J21"/>
      <c r="L21" s="6" t="s">
        <v>267</v>
      </c>
      <c r="M21" t="e">
        <f t="shared" si="0"/>
        <v>#REF!</v>
      </c>
      <c r="N21">
        <f t="shared" si="4"/>
        <v>0</v>
      </c>
      <c r="O21" t="e">
        <f t="shared" si="5"/>
        <v>#REF!</v>
      </c>
      <c r="Q21" s="6" t="s">
        <v>30</v>
      </c>
      <c r="R21">
        <f t="shared" si="6"/>
        <v>1</v>
      </c>
      <c r="S21">
        <f t="shared" si="7"/>
        <v>1</v>
      </c>
    </row>
    <row r="22" spans="1:19">
      <c r="C22">
        <f>GETPIVOTDATA(" Re-admit Patients",$A$3)</f>
        <v>10</v>
      </c>
      <c r="D22">
        <f>GETPIVOTDATA(" Total Patients",$A$3)</f>
        <v>13</v>
      </c>
      <c r="E22" t="str">
        <f t="shared" si="1"/>
        <v/>
      </c>
      <c r="F22" t="str">
        <f t="shared" si="2"/>
        <v/>
      </c>
      <c r="G22" s="6" t="s">
        <v>72</v>
      </c>
      <c r="H22" t="e">
        <f t="shared" si="3"/>
        <v>#REF!</v>
      </c>
      <c r="L22" s="6" t="s">
        <v>117</v>
      </c>
      <c r="M22" t="e">
        <f t="shared" si="0"/>
        <v>#REF!</v>
      </c>
      <c r="N22">
        <f t="shared" si="4"/>
        <v>0</v>
      </c>
      <c r="O22" t="e">
        <f t="shared" si="5"/>
        <v>#REF!</v>
      </c>
      <c r="Q22" s="6" t="s">
        <v>53</v>
      </c>
      <c r="R22" t="e">
        <f t="shared" si="6"/>
        <v>#REF!</v>
      </c>
      <c r="S22" t="e">
        <f t="shared" si="7"/>
        <v>#REF!</v>
      </c>
    </row>
    <row r="23" spans="1:19" ht="15">
      <c r="C23" s="18" t="s">
        <v>311</v>
      </c>
      <c r="D23" s="11" t="s">
        <v>312</v>
      </c>
      <c r="E23" t="str">
        <f t="shared" si="1"/>
        <v/>
      </c>
      <c r="F23" t="str">
        <f t="shared" si="2"/>
        <v/>
      </c>
      <c r="G23" s="6" t="s">
        <v>101</v>
      </c>
      <c r="H23" t="e">
        <f t="shared" si="3"/>
        <v>#REF!</v>
      </c>
      <c r="L23" s="6" t="s">
        <v>125</v>
      </c>
      <c r="M23" t="e">
        <f t="shared" si="0"/>
        <v>#REF!</v>
      </c>
      <c r="N23">
        <f t="shared" si="4"/>
        <v>0</v>
      </c>
      <c r="O23" t="e">
        <f t="shared" si="5"/>
        <v>#REF!</v>
      </c>
      <c r="Q23" s="6" t="s">
        <v>62</v>
      </c>
      <c r="R23" t="e">
        <f t="shared" si="6"/>
        <v>#REF!</v>
      </c>
      <c r="S23" t="e">
        <f t="shared" si="7"/>
        <v>#REF!</v>
      </c>
    </row>
    <row r="24" spans="1:19">
      <c r="C24" s="16">
        <f>IFERROR(C22/D22,0)</f>
        <v>0.76923076923076927</v>
      </c>
      <c r="D24" s="17">
        <v>1</v>
      </c>
      <c r="E24" t="str">
        <f t="shared" si="1"/>
        <v/>
      </c>
      <c r="L24" s="6" t="s">
        <v>170</v>
      </c>
      <c r="M24" t="e">
        <f t="shared" si="0"/>
        <v>#REF!</v>
      </c>
    </row>
    <row r="25" spans="1:19">
      <c r="L25" s="6" t="s">
        <v>294</v>
      </c>
      <c r="M25" t="e">
        <f t="shared" si="0"/>
        <v>#REF!</v>
      </c>
    </row>
    <row r="26" spans="1:19">
      <c r="L26" s="6" t="s">
        <v>263</v>
      </c>
      <c r="M26" t="e">
        <f t="shared" si="0"/>
        <v>#REF!</v>
      </c>
    </row>
    <row r="27" spans="1:19">
      <c r="L27" s="6" t="s">
        <v>297</v>
      </c>
      <c r="M27" t="e">
        <f t="shared" si="0"/>
        <v>#REF!</v>
      </c>
    </row>
    <row r="28" spans="1:19">
      <c r="L28" s="6" t="s">
        <v>283</v>
      </c>
      <c r="M28" t="e">
        <f t="shared" si="0"/>
        <v>#REF!</v>
      </c>
    </row>
    <row r="29" spans="1:19">
      <c r="L29" s="6" t="s">
        <v>42</v>
      </c>
      <c r="M29" t="e">
        <f t="shared" si="0"/>
        <v>#REF!</v>
      </c>
    </row>
    <row r="30" spans="1:19">
      <c r="L30" s="6" t="s">
        <v>63</v>
      </c>
      <c r="M30" t="e">
        <f t="shared" si="0"/>
        <v>#REF!</v>
      </c>
    </row>
    <row r="31" spans="1:19">
      <c r="L31" s="6" t="s">
        <v>286</v>
      </c>
      <c r="M31" t="e">
        <f t="shared" si="0"/>
        <v>#REF!</v>
      </c>
    </row>
    <row r="32" spans="1:19">
      <c r="L32" s="6" t="s">
        <v>119</v>
      </c>
      <c r="M32" t="e">
        <f t="shared" si="0"/>
        <v>#REF!</v>
      </c>
    </row>
    <row r="33" spans="12:13">
      <c r="L33" s="6" t="s">
        <v>289</v>
      </c>
      <c r="M33" t="e">
        <f t="shared" si="0"/>
        <v>#REF!</v>
      </c>
    </row>
    <row r="34" spans="12:13">
      <c r="L34" s="6" t="s">
        <v>70</v>
      </c>
      <c r="M34" t="e">
        <f t="shared" si="0"/>
        <v>#REF!</v>
      </c>
    </row>
    <row r="35" spans="12:13">
      <c r="L35" s="6" t="s">
        <v>225</v>
      </c>
      <c r="M35" t="e">
        <f t="shared" si="0"/>
        <v>#REF!</v>
      </c>
    </row>
    <row r="36" spans="12:13">
      <c r="L36" s="6" t="s">
        <v>78</v>
      </c>
      <c r="M36" t="e">
        <f t="shared" si="0"/>
        <v>#REF!</v>
      </c>
    </row>
    <row r="37" spans="12:13">
      <c r="L37" s="6" t="s">
        <v>198</v>
      </c>
      <c r="M37" t="e">
        <f t="shared" si="0"/>
        <v>#REF!</v>
      </c>
    </row>
    <row r="38" spans="12:13">
      <c r="L38" s="6" t="s">
        <v>188</v>
      </c>
      <c r="M38" t="e">
        <f t="shared" si="0"/>
        <v>#REF!</v>
      </c>
    </row>
    <row r="39" spans="12:13">
      <c r="L39" s="6" t="s">
        <v>31</v>
      </c>
      <c r="M39" t="e">
        <f t="shared" si="0"/>
        <v>#REF!</v>
      </c>
    </row>
    <row r="40" spans="12:13">
      <c r="L40" s="6" t="s">
        <v>76</v>
      </c>
      <c r="M40" t="e">
        <f t="shared" si="0"/>
        <v>#REF!</v>
      </c>
    </row>
    <row r="41" spans="12:13">
      <c r="L41" s="6" t="s">
        <v>278</v>
      </c>
      <c r="M41" t="e">
        <f t="shared" si="0"/>
        <v>#REF!</v>
      </c>
    </row>
    <row r="42" spans="12:13">
      <c r="L42" s="6" t="s">
        <v>120</v>
      </c>
      <c r="M42">
        <f t="shared" si="0"/>
        <v>13</v>
      </c>
    </row>
    <row r="43" spans="12:13">
      <c r="L43" s="6" t="s">
        <v>287</v>
      </c>
      <c r="M43" t="e">
        <f t="shared" si="0"/>
        <v>#REF!</v>
      </c>
    </row>
    <row r="44" spans="12:13">
      <c r="L44" s="6" t="s">
        <v>77</v>
      </c>
      <c r="M44" t="e">
        <f t="shared" si="0"/>
        <v>#REF!</v>
      </c>
    </row>
    <row r="45" spans="12:13">
      <c r="L45" s="6" t="s">
        <v>108</v>
      </c>
      <c r="M45" t="e">
        <f t="shared" si="0"/>
        <v>#REF!</v>
      </c>
    </row>
    <row r="46" spans="12:13">
      <c r="L46" s="6" t="s">
        <v>121</v>
      </c>
      <c r="M46" t="e">
        <f t="shared" si="0"/>
        <v>#REF!</v>
      </c>
    </row>
    <row r="47" spans="12:13">
      <c r="L47" s="6" t="s">
        <v>75</v>
      </c>
      <c r="M47" t="e">
        <f t="shared" si="0"/>
        <v>#REF!</v>
      </c>
    </row>
    <row r="48" spans="12:13">
      <c r="L48" s="6" t="s">
        <v>299</v>
      </c>
      <c r="M48" t="e">
        <f t="shared" si="0"/>
        <v>#REF!</v>
      </c>
    </row>
    <row r="49" spans="12:13">
      <c r="L49" s="6" t="s">
        <v>100</v>
      </c>
      <c r="M49" t="e">
        <f t="shared" si="0"/>
        <v>#REF!</v>
      </c>
    </row>
    <row r="50" spans="12:13">
      <c r="L50" s="6" t="s">
        <v>229</v>
      </c>
      <c r="M50" t="e">
        <f t="shared" si="0"/>
        <v>#REF!</v>
      </c>
    </row>
    <row r="51" spans="12:13">
      <c r="L51" s="6" t="s">
        <v>145</v>
      </c>
      <c r="M51" t="e">
        <f t="shared" si="0"/>
        <v>#REF!</v>
      </c>
    </row>
    <row r="52" spans="12:13">
      <c r="L52" s="6" t="s">
        <v>232</v>
      </c>
      <c r="M52" t="e">
        <f t="shared" si="0"/>
        <v>#REF!</v>
      </c>
    </row>
    <row r="53" spans="12:13">
      <c r="L53" s="6" t="s">
        <v>137</v>
      </c>
      <c r="M53" t="e">
        <f t="shared" si="0"/>
        <v>#REF!</v>
      </c>
    </row>
    <row r="54" spans="12:13">
      <c r="L54" s="6" t="s">
        <v>141</v>
      </c>
      <c r="M54" t="e">
        <f t="shared" si="0"/>
        <v>#REF!</v>
      </c>
    </row>
    <row r="55" spans="12:13">
      <c r="L55" s="6" t="s">
        <v>54</v>
      </c>
      <c r="M55" t="e">
        <f t="shared" si="0"/>
        <v>#REF!</v>
      </c>
    </row>
    <row r="56" spans="12:13">
      <c r="L56" s="6" t="s">
        <v>118</v>
      </c>
      <c r="M56" t="e">
        <f t="shared" si="0"/>
        <v>#REF!</v>
      </c>
    </row>
    <row r="57" spans="12:13">
      <c r="L57" s="6" t="s">
        <v>213</v>
      </c>
      <c r="M57" t="e">
        <f t="shared" si="0"/>
        <v>#REF!</v>
      </c>
    </row>
    <row r="58" spans="12:13" ht="15">
      <c r="L58" s="21"/>
    </row>
  </sheetData>
  <pageMargins left="0.7" right="0.7" top="0.75" bottom="0.75" header="0.3" footer="0.3"/>
  <pageSetup orientation="portrait" r:id="rId8"/>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
  <sheetViews>
    <sheetView showGridLines="0" tabSelected="1" zoomScale="65" zoomScaleNormal="65" workbookViewId="0">
      <selection activeCell="Y34" sqref="Y34"/>
    </sheetView>
  </sheetViews>
  <sheetFormatPr defaultRowHeight="14.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Sheet3</vt:lpstr>
      <vt:lpstr>Sheet2</vt:lpstr>
      <vt:lpstr>Sheet1</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dcterms:created xsi:type="dcterms:W3CDTF">2026-10-13T07:48:52Z</dcterms:created>
  <dcterms:modified xsi:type="dcterms:W3CDTF">2026-10-30T10:11:02Z</dcterms:modified>
</cp:coreProperties>
</file>